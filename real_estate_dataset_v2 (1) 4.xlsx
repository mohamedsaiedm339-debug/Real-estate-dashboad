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hidePivotFieldList="1"/>
  <mc:AlternateContent xmlns:mc="http://schemas.openxmlformats.org/markup-compatibility/2006">
    <mc:Choice Requires="x15">
      <x15ac:absPath xmlns:x15ac="http://schemas.microsoft.com/office/spreadsheetml/2010/11/ac" url="D:\Data Github\"/>
    </mc:Choice>
  </mc:AlternateContent>
  <xr:revisionPtr revIDLastSave="0" documentId="13_ncr:1_{98FBDA54-3766-4D01-A449-A405E3484A6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ealEstateData 2" sheetId="3" r:id="rId1"/>
    <sheet name="pivot table" sheetId="4" r:id="rId2"/>
    <sheet name="dashboard" sheetId="5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" i="4" l="1"/>
  <c r="D2" i="4"/>
  <c r="C3" i="4"/>
  <c r="D3" i="4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</calcChain>
</file>

<file path=xl/sharedStrings.xml><?xml version="1.0" encoding="utf-8"?>
<sst xmlns="http://schemas.openxmlformats.org/spreadsheetml/2006/main" count="1159" uniqueCount="171">
  <si>
    <t>Property ID</t>
  </si>
  <si>
    <t>City</t>
  </si>
  <si>
    <t>Area</t>
  </si>
  <si>
    <t>Property Type</t>
  </si>
  <si>
    <t>Size (sqm)</t>
  </si>
  <si>
    <t>Price</t>
  </si>
  <si>
    <t>Bedrooms</t>
  </si>
  <si>
    <t>Bathrooms</t>
  </si>
  <si>
    <t>Listing Date</t>
  </si>
  <si>
    <t>Sale Status</t>
  </si>
  <si>
    <t>Furnishing</t>
  </si>
  <si>
    <t>Payment Type</t>
  </si>
  <si>
    <t>Giza</t>
  </si>
  <si>
    <t>Haram</t>
  </si>
  <si>
    <t>Apartment</t>
  </si>
  <si>
    <t>2023-08-11</t>
  </si>
  <si>
    <t>Available</t>
  </si>
  <si>
    <t>Furnished</t>
  </si>
  <si>
    <t>Installments</t>
  </si>
  <si>
    <t>Alexandria</t>
  </si>
  <si>
    <t>Stanley</t>
  </si>
  <si>
    <t>2023-05-03</t>
  </si>
  <si>
    <t>Sold</t>
  </si>
  <si>
    <t>Cairo</t>
  </si>
  <si>
    <t>Maadi</t>
  </si>
  <si>
    <t>Villa</t>
  </si>
  <si>
    <t>2023-01-03</t>
  </si>
  <si>
    <t>Semi Furnished</t>
  </si>
  <si>
    <t>Cash</t>
  </si>
  <si>
    <t>Office</t>
  </si>
  <si>
    <t>2023-10-06</t>
  </si>
  <si>
    <t>Heliopolis</t>
  </si>
  <si>
    <t>2023-01-20</t>
  </si>
  <si>
    <t>Unfurnished</t>
  </si>
  <si>
    <t>2023-01-31</t>
  </si>
  <si>
    <t>2023-02-20</t>
  </si>
  <si>
    <t>6th October</t>
  </si>
  <si>
    <t>2023-07-01</t>
  </si>
  <si>
    <t>2023-08-17</t>
  </si>
  <si>
    <t>Sheikh Zayed</t>
  </si>
  <si>
    <t>2023-02-04</t>
  </si>
  <si>
    <t>New Cairo</t>
  </si>
  <si>
    <t>2023-10-05</t>
  </si>
  <si>
    <t>2023-10-16</t>
  </si>
  <si>
    <t>2023-06-09</t>
  </si>
  <si>
    <t>Nasr City</t>
  </si>
  <si>
    <t>2023-10-13</t>
  </si>
  <si>
    <t>Smouha</t>
  </si>
  <si>
    <t>2023-06-29</t>
  </si>
  <si>
    <t>2023-07-27</t>
  </si>
  <si>
    <t>2023-12-23</t>
  </si>
  <si>
    <t>2023-04-22</t>
  </si>
  <si>
    <t>2023-01-19</t>
  </si>
  <si>
    <t>2023-03-11</t>
  </si>
  <si>
    <t>Gleem</t>
  </si>
  <si>
    <t>2023-02-10</t>
  </si>
  <si>
    <t>2023-10-02</t>
  </si>
  <si>
    <t>2023-03-07</t>
  </si>
  <si>
    <t>2023-07-02</t>
  </si>
  <si>
    <t>2023-09-20</t>
  </si>
  <si>
    <t>2023-10-20</t>
  </si>
  <si>
    <t>2023-12-17</t>
  </si>
  <si>
    <t>2023-05-22</t>
  </si>
  <si>
    <t>2023-03-19</t>
  </si>
  <si>
    <t>2023-04-23</t>
  </si>
  <si>
    <t>2023-08-07</t>
  </si>
  <si>
    <t>2023-03-09</t>
  </si>
  <si>
    <t>2023-02-09</t>
  </si>
  <si>
    <t>2023-08-18</t>
  </si>
  <si>
    <t>2023-08-03</t>
  </si>
  <si>
    <t>2023-07-18</t>
  </si>
  <si>
    <t>2023-02-27</t>
  </si>
  <si>
    <t>2023-03-03</t>
  </si>
  <si>
    <t>2023-12-18</t>
  </si>
  <si>
    <t>2023-11-01</t>
  </si>
  <si>
    <t>2023-10-31</t>
  </si>
  <si>
    <t>2023-09-02</t>
  </si>
  <si>
    <t>2023-11-16</t>
  </si>
  <si>
    <t>2023-08-28</t>
  </si>
  <si>
    <t>2023-04-27</t>
  </si>
  <si>
    <t>2023-07-10</t>
  </si>
  <si>
    <t>2023-06-08</t>
  </si>
  <si>
    <t>2023-07-25</t>
  </si>
  <si>
    <t>2023-08-19</t>
  </si>
  <si>
    <t>2023-10-01</t>
  </si>
  <si>
    <t>2023-11-22</t>
  </si>
  <si>
    <t>2023-03-22</t>
  </si>
  <si>
    <t>2023-09-01</t>
  </si>
  <si>
    <t>2023-06-02</t>
  </si>
  <si>
    <t>2023-05-18</t>
  </si>
  <si>
    <t>2023-02-18</t>
  </si>
  <si>
    <t>2023-07-06</t>
  </si>
  <si>
    <t>2023-12-03</t>
  </si>
  <si>
    <t>2023-02-14</t>
  </si>
  <si>
    <t>2023-07-26</t>
  </si>
  <si>
    <t>2023-07-31</t>
  </si>
  <si>
    <t>2023-06-10</t>
  </si>
  <si>
    <t>2023-01-22</t>
  </si>
  <si>
    <t>2023-12-04</t>
  </si>
  <si>
    <t>2023-03-23</t>
  </si>
  <si>
    <t>2023-11-23</t>
  </si>
  <si>
    <t>2023-04-19</t>
  </si>
  <si>
    <t>2023-02-06</t>
  </si>
  <si>
    <t>2023-11-02</t>
  </si>
  <si>
    <t>2023-06-23</t>
  </si>
  <si>
    <t>2023-02-05</t>
  </si>
  <si>
    <t>2023-11-09</t>
  </si>
  <si>
    <t>2023-05-21</t>
  </si>
  <si>
    <t>2023-01-11</t>
  </si>
  <si>
    <t>2023-02-23</t>
  </si>
  <si>
    <t>2023-01-09</t>
  </si>
  <si>
    <t>2023-05-04</t>
  </si>
  <si>
    <t>2023-05-25</t>
  </si>
  <si>
    <t>2023-01-10</t>
  </si>
  <si>
    <t>2023-12-27</t>
  </si>
  <si>
    <t>2023-08-02</t>
  </si>
  <si>
    <t>2023-01-13</t>
  </si>
  <si>
    <t>2023-01-05</t>
  </si>
  <si>
    <t>2023-08-31</t>
  </si>
  <si>
    <t>2023-11-27</t>
  </si>
  <si>
    <t>2023-12-08</t>
  </si>
  <si>
    <t>2023-06-19</t>
  </si>
  <si>
    <t>2023-08-27</t>
  </si>
  <si>
    <t>2023-03-04</t>
  </si>
  <si>
    <t>2023-05-17</t>
  </si>
  <si>
    <t>2023-02-16</t>
  </si>
  <si>
    <t>2023-07-19</t>
  </si>
  <si>
    <t>2023-12-22</t>
  </si>
  <si>
    <t>2023-07-23</t>
  </si>
  <si>
    <t>2023-12-01</t>
  </si>
  <si>
    <t>2023-01-27</t>
  </si>
  <si>
    <t>2023-06-03</t>
  </si>
  <si>
    <t>2023-12-12</t>
  </si>
  <si>
    <t>2023-03-13</t>
  </si>
  <si>
    <t>2023-02-25</t>
  </si>
  <si>
    <t>2023-09-08</t>
  </si>
  <si>
    <t>2023-09-30</t>
  </si>
  <si>
    <t>2023-03-26</t>
  </si>
  <si>
    <t>2023-10-03</t>
  </si>
  <si>
    <t>2023-09-07</t>
  </si>
  <si>
    <t>2023-08-12</t>
  </si>
  <si>
    <t>2023-11-14</t>
  </si>
  <si>
    <t>2023-01-01</t>
  </si>
  <si>
    <t>2023-08-05</t>
  </si>
  <si>
    <t>2024-01-01</t>
  </si>
  <si>
    <t>2023-01-24</t>
  </si>
  <si>
    <t>2023-05-16</t>
  </si>
  <si>
    <t>2023-12-05</t>
  </si>
  <si>
    <t>2023-04-17</t>
  </si>
  <si>
    <t>2023-12-16</t>
  </si>
  <si>
    <t>2023-07-20</t>
  </si>
  <si>
    <t>2023-09-12</t>
  </si>
  <si>
    <t>2023-04-08</t>
  </si>
  <si>
    <t>2023-09-09</t>
  </si>
  <si>
    <t>2023-05-11</t>
  </si>
  <si>
    <t>2023-02-26</t>
  </si>
  <si>
    <t>2023-07-14</t>
  </si>
  <si>
    <t>Count of Property ID</t>
  </si>
  <si>
    <t>Average of Price</t>
  </si>
  <si>
    <t>Grand Total</t>
  </si>
  <si>
    <t>Count of Sale Status</t>
  </si>
  <si>
    <t>city</t>
  </si>
  <si>
    <t>sale state</t>
  </si>
  <si>
    <t>property type</t>
  </si>
  <si>
    <t>Count of Property Type</t>
  </si>
  <si>
    <t>Column Labels</t>
  </si>
  <si>
    <t>pps</t>
  </si>
  <si>
    <t>Average of pps</t>
  </si>
  <si>
    <t>Cairo Total</t>
  </si>
  <si>
    <t>Giza Total</t>
  </si>
  <si>
    <t>Alexandria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</si>
</sst>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Alignment="1">
      <alignment horizontal="left" indent="1"/>
    </xf>
    <xf numFmtId="164" fontId="0" fillId="0" borderId="0" xfId="0" applyNumberFormat="1"/>
    <xf numFmtId="164" fontId="0" fillId="0" borderId="0" xfId="1" applyNumberFormat="1" applyFont="1"/>
  </cellXfs>
  <cellStyles count="2">
    <cellStyle name="Currency" xfId="1" builtinId="4"/>
    <cellStyle name="Normal" xfId="0" builtinId="0"/>
  </cellStyles>
  <dxfs count="2">
    <dxf>
      <numFmt numFmtId="164" formatCode="_(&quot;$&quot;* #,##0_);_(&quot;$&quot;* \(#,##0\);_(&quot;$&quot;* &quot;-&quot;??_);_(@_)"/>
    </dxf>
    <dxf>
      <numFmt numFmtId="0" formatCode="General"/>
    </dxf>
  </dxfs>
  <tableStyles count="0" defaultTableStyle="TableStyleMedium9" defaultPivotStyle="PivotStyleLight16"/>
  <colors>
    <mruColors>
      <color rgb="FFFCB044"/>
      <color rgb="FF3F96D5"/>
      <color rgb="FF151B2B"/>
      <color rgb="FF63BDE3"/>
      <color rgb="FFFAB958"/>
      <color rgb="FF3C71CA"/>
      <color rgb="FF191E31"/>
      <color rgb="FF979A9D"/>
      <color rgb="FFEB862F"/>
      <color rgb="FF215C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[real_estate_dataset_v2 (1) 4.xlsx]pivot table!PivotTable5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2000">
                <a:solidFill>
                  <a:schemeClr val="bg1"/>
                </a:solidFill>
              </a:rPr>
              <a:t>Property</a:t>
            </a:r>
            <a:r>
              <a:rPr lang="en-US" sz="2000" baseline="0">
                <a:solidFill>
                  <a:schemeClr val="bg1"/>
                </a:solidFill>
              </a:rPr>
              <a:t> by sales</a:t>
            </a:r>
            <a:endParaRPr lang="en-US" sz="2000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2329094059979546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8B16B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9571337172104804E-2"/>
              <c:y val="-8.79629629629629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EB862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3173384516954579E-2"/>
              <c:y val="0.1712962962962963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215CBB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836212412028151"/>
              <c:y val="2.31481481481481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'pivot table'!$B$27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8B16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357-48B4-9390-3EC9B26FD936}"/>
              </c:ext>
            </c:extLst>
          </c:dPt>
          <c:dPt>
            <c:idx val="1"/>
            <c:bubble3D val="0"/>
            <c:spPr>
              <a:solidFill>
                <a:srgbClr val="EB862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57-48B4-9390-3EC9B26FD936}"/>
              </c:ext>
            </c:extLst>
          </c:dPt>
          <c:dPt>
            <c:idx val="2"/>
            <c:bubble3D val="0"/>
            <c:spPr>
              <a:solidFill>
                <a:srgbClr val="215CB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357-48B4-9390-3EC9B26FD936}"/>
              </c:ext>
            </c:extLst>
          </c:dPt>
          <c:dLbls>
            <c:dLbl>
              <c:idx val="0"/>
              <c:layout>
                <c:manualLayout>
                  <c:x val="8.9571337172104804E-2"/>
                  <c:y val="-8.796296296296296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357-48B4-9390-3EC9B26FD936}"/>
                </c:ext>
              </c:extLst>
            </c:dLbl>
            <c:dLbl>
              <c:idx val="1"/>
              <c:layout>
                <c:manualLayout>
                  <c:x val="8.3173384516954579E-2"/>
                  <c:y val="0.17129629629629631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357-48B4-9390-3EC9B26FD936}"/>
                </c:ext>
              </c:extLst>
            </c:dLbl>
            <c:dLbl>
              <c:idx val="2"/>
              <c:layout>
                <c:manualLayout>
                  <c:x val="-0.11836212412028151"/>
                  <c:y val="2.314814814814814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357-48B4-9390-3EC9B26FD9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ar-EG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table'!$A$28:$A$31</c:f>
              <c:strCache>
                <c:ptCount val="3"/>
                <c:pt idx="0">
                  <c:v>Apartment</c:v>
                </c:pt>
                <c:pt idx="1">
                  <c:v>Office</c:v>
                </c:pt>
                <c:pt idx="2">
                  <c:v>Villa</c:v>
                </c:pt>
              </c:strCache>
            </c:strRef>
          </c:cat>
          <c:val>
            <c:numRef>
              <c:f>'pivot table'!$B$28:$B$31</c:f>
              <c:numCache>
                <c:formatCode>General</c:formatCode>
                <c:ptCount val="3"/>
                <c:pt idx="0">
                  <c:v>1521946.58</c:v>
                </c:pt>
                <c:pt idx="1">
                  <c:v>1957943.0566037735</c:v>
                </c:pt>
                <c:pt idx="2">
                  <c:v>4480082.3191489363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357-48B4-9390-3EC9B26FD93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1B233A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[real_estate_dataset_v2 (1) 4.xlsx]pivot table!PivotTable7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triangle"/>
          <c:size val="6"/>
          <c:spPr>
            <a:solidFill>
              <a:schemeClr val="accent3"/>
            </a:solidFill>
            <a:ln w="952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3C71C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AB95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BDE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0513998250218724E-2"/>
          <c:y val="0.12037037037037036"/>
          <c:w val="0.7858663738832854"/>
          <c:h val="0.757746427529892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table'!$F$17:$F$18</c:f>
              <c:strCache>
                <c:ptCount val="1"/>
                <c:pt idx="0">
                  <c:v>Apartment</c:v>
                </c:pt>
              </c:strCache>
            </c:strRef>
          </c:tx>
          <c:spPr>
            <a:solidFill>
              <a:srgbClr val="3C71C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ar-E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table'!$E$19:$E$22</c:f>
              <c:strCache>
                <c:ptCount val="3"/>
                <c:pt idx="0">
                  <c:v>Alexandria</c:v>
                </c:pt>
                <c:pt idx="1">
                  <c:v>Cairo</c:v>
                </c:pt>
                <c:pt idx="2">
                  <c:v>Giza</c:v>
                </c:pt>
              </c:strCache>
            </c:strRef>
          </c:cat>
          <c:val>
            <c:numRef>
              <c:f>'pivot table'!$F$19:$F$22</c:f>
              <c:numCache>
                <c:formatCode>General</c:formatCode>
                <c:ptCount val="3"/>
                <c:pt idx="0">
                  <c:v>18</c:v>
                </c:pt>
                <c:pt idx="1">
                  <c:v>18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85-4526-889B-4B505AB85716}"/>
            </c:ext>
          </c:extLst>
        </c:ser>
        <c:ser>
          <c:idx val="1"/>
          <c:order val="1"/>
          <c:tx>
            <c:strRef>
              <c:f>'pivot table'!$G$17:$G$18</c:f>
              <c:strCache>
                <c:ptCount val="1"/>
                <c:pt idx="0">
                  <c:v>Office</c:v>
                </c:pt>
              </c:strCache>
            </c:strRef>
          </c:tx>
          <c:spPr>
            <a:solidFill>
              <a:srgbClr val="FAB95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ar-E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table'!$E$19:$E$22</c:f>
              <c:strCache>
                <c:ptCount val="3"/>
                <c:pt idx="0">
                  <c:v>Alexandria</c:v>
                </c:pt>
                <c:pt idx="1">
                  <c:v>Cairo</c:v>
                </c:pt>
                <c:pt idx="2">
                  <c:v>Giza</c:v>
                </c:pt>
              </c:strCache>
            </c:strRef>
          </c:cat>
          <c:val>
            <c:numRef>
              <c:f>'pivot table'!$G$19:$G$22</c:f>
              <c:numCache>
                <c:formatCode>General</c:formatCode>
                <c:ptCount val="3"/>
                <c:pt idx="0">
                  <c:v>16</c:v>
                </c:pt>
                <c:pt idx="1">
                  <c:v>22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85-4526-889B-4B505AB85716}"/>
            </c:ext>
          </c:extLst>
        </c:ser>
        <c:ser>
          <c:idx val="2"/>
          <c:order val="2"/>
          <c:tx>
            <c:strRef>
              <c:f>'pivot table'!$H$17:$H$18</c:f>
              <c:strCache>
                <c:ptCount val="1"/>
                <c:pt idx="0">
                  <c:v>Villa</c:v>
                </c:pt>
              </c:strCache>
            </c:strRef>
          </c:tx>
          <c:spPr>
            <a:solidFill>
              <a:srgbClr val="63BDE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ar-E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table'!$E$19:$E$22</c:f>
              <c:strCache>
                <c:ptCount val="3"/>
                <c:pt idx="0">
                  <c:v>Alexandria</c:v>
                </c:pt>
                <c:pt idx="1">
                  <c:v>Cairo</c:v>
                </c:pt>
                <c:pt idx="2">
                  <c:v>Giza</c:v>
                </c:pt>
              </c:strCache>
            </c:strRef>
          </c:cat>
          <c:val>
            <c:numRef>
              <c:f>'pivot table'!$H$19:$H$22</c:f>
              <c:numCache>
                <c:formatCode>General</c:formatCode>
                <c:ptCount val="3"/>
                <c:pt idx="0">
                  <c:v>14</c:v>
                </c:pt>
                <c:pt idx="1">
                  <c:v>17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85-4526-889B-4B505AB8571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348953871"/>
        <c:axId val="1348955951"/>
      </c:barChart>
      <c:catAx>
        <c:axId val="1348953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348955951"/>
        <c:crosses val="autoZero"/>
        <c:auto val="1"/>
        <c:lblAlgn val="ctr"/>
        <c:lblOffset val="100"/>
        <c:noMultiLvlLbl val="0"/>
      </c:catAx>
      <c:valAx>
        <c:axId val="134895595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48953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8375352664684"/>
          <c:y val="0.37355242053076698"/>
          <c:w val="0.14918503937007874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191E3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[real_estate_dataset_v2 (1) 4.xlsx]pivot table!PivotTable2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chemeClr val="bg1"/>
                </a:solidFill>
              </a:rPr>
              <a:t>Total sold Vs Available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3F96D5"/>
          </a:solidFill>
          <a:ln>
            <a:noFill/>
          </a:ln>
          <a:effectLst/>
        </c:spPr>
      </c:pivotFmt>
      <c:pivotFmt>
        <c:idx val="4"/>
        <c:spPr>
          <a:solidFill>
            <a:srgbClr val="FCB044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3F96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B8F-463F-9751-1618E6DC7399}"/>
              </c:ext>
            </c:extLst>
          </c:dPt>
          <c:dPt>
            <c:idx val="1"/>
            <c:invertIfNegative val="0"/>
            <c:bubble3D val="0"/>
            <c:spPr>
              <a:solidFill>
                <a:srgbClr val="FCB04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B8F-463F-9751-1618E6DC7399}"/>
              </c:ext>
            </c:extLst>
          </c:dPt>
          <c:cat>
            <c:strRef>
              <c:f>'pivot table'!$A$8:$A$10</c:f>
              <c:strCache>
                <c:ptCount val="2"/>
                <c:pt idx="0">
                  <c:v>Available</c:v>
                </c:pt>
                <c:pt idx="1">
                  <c:v>Sold</c:v>
                </c:pt>
              </c:strCache>
            </c:strRef>
          </c:cat>
          <c:val>
            <c:numRef>
              <c:f>'pivot table'!$B$8:$B$10</c:f>
              <c:numCache>
                <c:formatCode>General</c:formatCode>
                <c:ptCount val="2"/>
                <c:pt idx="0">
                  <c:v>75</c:v>
                </c:pt>
                <c:pt idx="1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8F-463F-9751-1618E6DC7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61929215"/>
        <c:axId val="1761941279"/>
      </c:barChart>
      <c:catAx>
        <c:axId val="1761929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761941279"/>
        <c:crosses val="autoZero"/>
        <c:auto val="1"/>
        <c:lblAlgn val="ctr"/>
        <c:lblOffset val="100"/>
        <c:noMultiLvlLbl val="0"/>
      </c:catAx>
      <c:valAx>
        <c:axId val="1761941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761929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617220</xdr:colOff>
      <xdr:row>3</xdr:row>
      <xdr:rowOff>160020</xdr:rowOff>
    </xdr:from>
    <xdr:to>
      <xdr:col>19</xdr:col>
      <xdr:colOff>236220</xdr:colOff>
      <xdr:row>36</xdr:row>
      <xdr:rowOff>83820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C9A31BBC-83FA-AD54-F159-58EE409EE7F6}"/>
            </a:ext>
          </a:extLst>
        </xdr:cNvPr>
        <xdr:cNvSpPr/>
      </xdr:nvSpPr>
      <xdr:spPr>
        <a:xfrm>
          <a:off x="617220" y="685800"/>
          <a:ext cx="12359640" cy="5707380"/>
        </a:xfrm>
        <a:prstGeom prst="roundRect">
          <a:avLst>
            <a:gd name="adj" fmla="val 2682"/>
          </a:avLst>
        </a:prstGeom>
        <a:solidFill>
          <a:srgbClr val="12152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EG" sz="2800">
            <a:solidFill>
              <a:srgbClr val="C8CAE1"/>
            </a:solidFill>
          </a:endParaRPr>
        </a:p>
      </xdr:txBody>
    </xdr:sp>
    <xdr:clientData/>
  </xdr:twoCellAnchor>
  <xdr:twoCellAnchor editAs="oneCell">
    <xdr:from>
      <xdr:col>15</xdr:col>
      <xdr:colOff>586740</xdr:colOff>
      <xdr:row>2</xdr:row>
      <xdr:rowOff>38100</xdr:rowOff>
    </xdr:from>
    <xdr:to>
      <xdr:col>19</xdr:col>
      <xdr:colOff>533400</xdr:colOff>
      <xdr:row>13</xdr:row>
      <xdr:rowOff>21102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6656E9F-271A-560C-4BD0-B0D622181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45140" y="388620"/>
          <a:ext cx="2628900" cy="1910862"/>
        </a:xfrm>
        <a:prstGeom prst="rect">
          <a:avLst/>
        </a:prstGeom>
      </xdr:spPr>
    </xdr:pic>
    <xdr:clientData/>
  </xdr:twoCellAnchor>
  <xdr:oneCellAnchor>
    <xdr:from>
      <xdr:col>0</xdr:col>
      <xdr:colOff>655320</xdr:colOff>
      <xdr:row>4</xdr:row>
      <xdr:rowOff>15240</xdr:rowOff>
    </xdr:from>
    <xdr:ext cx="4579620" cy="57150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CA71AC2-3116-4E0B-52D9-620B04C145E9}"/>
            </a:ext>
          </a:extLst>
        </xdr:cNvPr>
        <xdr:cNvSpPr txBox="1"/>
      </xdr:nvSpPr>
      <xdr:spPr>
        <a:xfrm>
          <a:off x="655320" y="716280"/>
          <a:ext cx="4579620" cy="571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chemeClr val="bg1"/>
              </a:solidFill>
            </a:rPr>
            <a:t>                 </a:t>
          </a:r>
          <a:r>
            <a:rPr lang="en-US" sz="3200">
              <a:solidFill>
                <a:srgbClr val="D6D7DF"/>
              </a:solidFill>
              <a:effectLst/>
              <a:latin typeface="+mn-lt"/>
              <a:ea typeface="+mn-ea"/>
              <a:cs typeface="+mn-cs"/>
            </a:rPr>
            <a:t>Real EstReal Over View</a:t>
          </a:r>
          <a:endParaRPr lang="ar-EG" sz="2400">
            <a:solidFill>
              <a:srgbClr val="D6D7DF"/>
            </a:solidFill>
            <a:effectLst/>
          </a:endParaRPr>
        </a:p>
        <a:p>
          <a:endParaRPr lang="ar-EG" sz="1200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1</xdr:col>
      <xdr:colOff>60960</xdr:colOff>
      <xdr:row>4</xdr:row>
      <xdr:rowOff>38100</xdr:rowOff>
    </xdr:from>
    <xdr:to>
      <xdr:col>1</xdr:col>
      <xdr:colOff>594360</xdr:colOff>
      <xdr:row>7</xdr:row>
      <xdr:rowOff>60960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8C9EFA0-C53A-BC49-69F9-F9CAAF22E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" y="739140"/>
          <a:ext cx="533400" cy="548640"/>
        </a:xfrm>
        <a:prstGeom prst="rect">
          <a:avLst/>
        </a:prstGeom>
        <a:solidFill>
          <a:srgbClr val="74798D"/>
        </a:solidFill>
      </xdr:spPr>
    </xdr:pic>
    <xdr:clientData/>
  </xdr:twoCellAnchor>
  <xdr:twoCellAnchor>
    <xdr:from>
      <xdr:col>1</xdr:col>
      <xdr:colOff>441960</xdr:colOff>
      <xdr:row>9</xdr:row>
      <xdr:rowOff>68580</xdr:rowOff>
    </xdr:from>
    <xdr:to>
      <xdr:col>4</xdr:col>
      <xdr:colOff>533400</xdr:colOff>
      <xdr:row>14</xdr:row>
      <xdr:rowOff>67494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4500C1C3-0DC7-7432-05D4-242B4119501E}"/>
            </a:ext>
          </a:extLst>
        </xdr:cNvPr>
        <xdr:cNvGrpSpPr/>
      </xdr:nvGrpSpPr>
      <xdr:grpSpPr>
        <a:xfrm>
          <a:off x="1115060" y="1668780"/>
          <a:ext cx="2110740" cy="887914"/>
          <a:chOff x="1203960" y="1630680"/>
          <a:chExt cx="2103120" cy="875214"/>
        </a:xfrm>
      </xdr:grpSpPr>
      <xdr:sp macro="" textlink="">
        <xdr:nvSpPr>
          <xdr:cNvPr id="9" name="Rectangle: Rounded Corners 8">
            <a:extLst>
              <a:ext uri="{FF2B5EF4-FFF2-40B4-BE49-F238E27FC236}">
                <a16:creationId xmlns:a16="http://schemas.microsoft.com/office/drawing/2014/main" id="{E3115A50-759E-6D43-724C-DE1B0E621DAF}"/>
              </a:ext>
            </a:extLst>
          </xdr:cNvPr>
          <xdr:cNvSpPr/>
        </xdr:nvSpPr>
        <xdr:spPr>
          <a:xfrm>
            <a:off x="1203960" y="1630680"/>
            <a:ext cx="2103120" cy="853440"/>
          </a:xfrm>
          <a:prstGeom prst="roundRect">
            <a:avLst>
              <a:gd name="adj" fmla="val 14881"/>
            </a:avLst>
          </a:prstGeom>
          <a:solidFill>
            <a:srgbClr val="1A2239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t"/>
          <a:lstStyle/>
          <a:p>
            <a:pPr algn="ctr"/>
            <a:r>
              <a:rPr lang="en-US" sz="2000">
                <a:solidFill>
                  <a:srgbClr val="D6D7DF"/>
                </a:solidFill>
              </a:rPr>
              <a:t>Total</a:t>
            </a:r>
            <a:r>
              <a:rPr lang="en-US" sz="2000" baseline="0">
                <a:solidFill>
                  <a:srgbClr val="D6D7DF"/>
                </a:solidFill>
              </a:rPr>
              <a:t> Properties</a:t>
            </a:r>
            <a:endParaRPr lang="ar-EG" sz="2000">
              <a:solidFill>
                <a:srgbClr val="D6D7DF"/>
              </a:solidFill>
            </a:endParaRPr>
          </a:p>
        </xdr:txBody>
      </xdr:sp>
      <xdr:sp macro="" textlink="'pivot table'!C3">
        <xdr:nvSpPr>
          <xdr:cNvPr id="10" name="TextBox 9">
            <a:extLst>
              <a:ext uri="{FF2B5EF4-FFF2-40B4-BE49-F238E27FC236}">
                <a16:creationId xmlns:a16="http://schemas.microsoft.com/office/drawing/2014/main" id="{D09FC5E6-FEC5-54EC-EF56-5981B66A9741}"/>
              </a:ext>
            </a:extLst>
          </xdr:cNvPr>
          <xdr:cNvSpPr txBox="1"/>
        </xdr:nvSpPr>
        <xdr:spPr>
          <a:xfrm>
            <a:off x="1684020" y="2000627"/>
            <a:ext cx="944880" cy="50526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1" anchor="ctr">
            <a:spAutoFit/>
          </a:bodyPr>
          <a:lstStyle/>
          <a:p>
            <a:pPr algn="ctr"/>
            <a:fld id="{33B51962-BDD8-4AE9-9B95-43EE8ABBE64D}" type="TxLink">
              <a:rPr lang="en-US" sz="2800" b="0" i="0" u="none" strike="noStrike">
                <a:solidFill>
                  <a:srgbClr val="D6D7DF"/>
                </a:solidFill>
                <a:latin typeface="Arial"/>
                <a:cs typeface="Arial"/>
              </a:rPr>
              <a:pPr algn="ctr"/>
              <a:t>150</a:t>
            </a:fld>
            <a:endParaRPr lang="ar-EG" sz="2800">
              <a:solidFill>
                <a:srgbClr val="D6D7DF"/>
              </a:solidFill>
            </a:endParaRPr>
          </a:p>
        </xdr:txBody>
      </xdr:sp>
    </xdr:grpSp>
    <xdr:clientData/>
  </xdr:twoCellAnchor>
  <xdr:twoCellAnchor>
    <xdr:from>
      <xdr:col>5</xdr:col>
      <xdr:colOff>220980</xdr:colOff>
      <xdr:row>9</xdr:row>
      <xdr:rowOff>53340</xdr:rowOff>
    </xdr:from>
    <xdr:to>
      <xdr:col>8</xdr:col>
      <xdr:colOff>312420</xdr:colOff>
      <xdr:row>14</xdr:row>
      <xdr:rowOff>30480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C2A85C80-FC9B-4BCA-A355-2E17C26E04A4}"/>
            </a:ext>
          </a:extLst>
        </xdr:cNvPr>
        <xdr:cNvSpPr/>
      </xdr:nvSpPr>
      <xdr:spPr>
        <a:xfrm>
          <a:off x="3573780" y="1630680"/>
          <a:ext cx="2103120" cy="853440"/>
        </a:xfrm>
        <a:prstGeom prst="roundRect">
          <a:avLst>
            <a:gd name="adj" fmla="val 14881"/>
          </a:avLst>
        </a:prstGeom>
        <a:solidFill>
          <a:srgbClr val="1A223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ctr"/>
          <a:r>
            <a:rPr lang="en-US" sz="2000">
              <a:solidFill>
                <a:srgbClr val="D6D7DF"/>
              </a:solidFill>
            </a:rPr>
            <a:t>Avg</a:t>
          </a:r>
          <a:r>
            <a:rPr lang="en-US" sz="2000" baseline="0">
              <a:solidFill>
                <a:srgbClr val="D6D7DF"/>
              </a:solidFill>
            </a:rPr>
            <a:t> Price</a:t>
          </a:r>
          <a:endParaRPr lang="ar-EG" sz="2000">
            <a:solidFill>
              <a:srgbClr val="D6D7DF"/>
            </a:solidFill>
          </a:endParaRPr>
        </a:p>
      </xdr:txBody>
    </xdr:sp>
    <xdr:clientData/>
  </xdr:twoCellAnchor>
  <xdr:oneCellAnchor>
    <xdr:from>
      <xdr:col>5</xdr:col>
      <xdr:colOff>601980</xdr:colOff>
      <xdr:row>11</xdr:row>
      <xdr:rowOff>160020</xdr:rowOff>
    </xdr:from>
    <xdr:ext cx="1348740" cy="337949"/>
    <xdr:sp macro="" textlink="'pivot table'!D3">
      <xdr:nvSpPr>
        <xdr:cNvPr id="14" name="TextBox 13">
          <a:extLst>
            <a:ext uri="{FF2B5EF4-FFF2-40B4-BE49-F238E27FC236}">
              <a16:creationId xmlns:a16="http://schemas.microsoft.com/office/drawing/2014/main" id="{3D1AEC7B-74DB-CC43-A894-7B64B7FBFE0C}"/>
            </a:ext>
          </a:extLst>
        </xdr:cNvPr>
        <xdr:cNvSpPr txBox="1"/>
      </xdr:nvSpPr>
      <xdr:spPr>
        <a:xfrm>
          <a:off x="3954780" y="2087880"/>
          <a:ext cx="1348740" cy="337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noAutofit/>
        </a:bodyPr>
        <a:lstStyle/>
        <a:p>
          <a:pPr algn="ctr"/>
          <a:fld id="{F16C7360-2E19-4F88-8790-31D83ECDCE7B}" type="TxLink">
            <a:rPr lang="en-US" sz="1600" b="0" i="0" u="none" strike="noStrike">
              <a:solidFill>
                <a:srgbClr val="D6D7DF"/>
              </a:solidFill>
              <a:latin typeface="Arial"/>
              <a:cs typeface="Arial"/>
            </a:rPr>
            <a:pPr algn="ctr"/>
            <a:t> $2,602,881 </a:t>
          </a:fld>
          <a:endParaRPr lang="ar-EG" sz="1600">
            <a:solidFill>
              <a:srgbClr val="D6D7DF"/>
            </a:solidFill>
          </a:endParaRPr>
        </a:p>
      </xdr:txBody>
    </xdr:sp>
    <xdr:clientData/>
  </xdr:oneCellAnchor>
  <xdr:twoCellAnchor>
    <xdr:from>
      <xdr:col>1</xdr:col>
      <xdr:colOff>378460</xdr:colOff>
      <xdr:row>17</xdr:row>
      <xdr:rowOff>119380</xdr:rowOff>
    </xdr:from>
    <xdr:to>
      <xdr:col>7</xdr:col>
      <xdr:colOff>325120</xdr:colOff>
      <xdr:row>34</xdr:row>
      <xdr:rowOff>35560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DE2489CE-750F-494B-A664-1E56D80619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604520</xdr:colOff>
      <xdr:row>17</xdr:row>
      <xdr:rowOff>63500</xdr:rowOff>
    </xdr:from>
    <xdr:to>
      <xdr:col>18</xdr:col>
      <xdr:colOff>551180</xdr:colOff>
      <xdr:row>33</xdr:row>
      <xdr:rowOff>172720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7460E6E3-287B-4FFA-A2E1-8518F3EBBE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350520</xdr:colOff>
      <xdr:row>4</xdr:row>
      <xdr:rowOff>30480</xdr:rowOff>
    </xdr:from>
    <xdr:to>
      <xdr:col>16</xdr:col>
      <xdr:colOff>129540</xdr:colOff>
      <xdr:row>15</xdr:row>
      <xdr:rowOff>7620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359A245B-EC04-492F-A965-53CBD023BD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27.607758680555" createdVersion="8" refreshedVersion="8" minRefreshableVersion="3" recordCount="150" xr:uid="{91B9B016-AAFF-4937-B3FC-8DD473D9FF2D}">
  <cacheSource type="worksheet">
    <worksheetSource name="Table4"/>
  </cacheSource>
  <cacheFields count="13">
    <cacheField name="Property ID" numFmtId="0">
      <sharedItems containsSemiMixedTypes="0" containsString="0" containsNumber="1" containsInteger="1" minValue="1" maxValue="150"/>
    </cacheField>
    <cacheField name="City" numFmtId="0">
      <sharedItems count="3">
        <s v="Giza"/>
        <s v="Alexandria"/>
        <s v="Cairo"/>
      </sharedItems>
    </cacheField>
    <cacheField name="Area" numFmtId="0">
      <sharedItems count="10">
        <s v="Haram"/>
        <s v="Stanley"/>
        <s v="Maadi"/>
        <s v="Heliopolis"/>
        <s v="6th October"/>
        <s v="Sheikh Zayed"/>
        <s v="New Cairo"/>
        <s v="Nasr City"/>
        <s v="Smouha"/>
        <s v="Gleem"/>
      </sharedItems>
    </cacheField>
    <cacheField name="Property Type" numFmtId="0">
      <sharedItems count="3">
        <s v="Apartment"/>
        <s v="Villa"/>
        <s v="Office"/>
      </sharedItems>
    </cacheField>
    <cacheField name="Size (sqm)" numFmtId="0">
      <sharedItems containsSemiMixedTypes="0" containsString="0" containsNumber="1" containsInteger="1" minValue="71" maxValue="491"/>
    </cacheField>
    <cacheField name="Price" numFmtId="0">
      <sharedItems containsSemiMixedTypes="0" containsString="0" containsNumber="1" containsInteger="1" minValue="665239" maxValue="8778025"/>
    </cacheField>
    <cacheField name="Bedrooms" numFmtId="0">
      <sharedItems containsSemiMixedTypes="0" containsString="0" containsNumber="1" containsInteger="1" minValue="0" maxValue="6"/>
    </cacheField>
    <cacheField name="Bathrooms" numFmtId="0">
      <sharedItems containsSemiMixedTypes="0" containsString="0" containsNumber="1" containsInteger="1" minValue="1" maxValue="4"/>
    </cacheField>
    <cacheField name="Listing Date" numFmtId="0">
      <sharedItems/>
    </cacheField>
    <cacheField name="Sale Status" numFmtId="0">
      <sharedItems count="2">
        <s v="Available"/>
        <s v="Sold"/>
      </sharedItems>
    </cacheField>
    <cacheField name="Furnishing" numFmtId="0">
      <sharedItems count="3">
        <s v="Furnished"/>
        <s v="Semi Furnished"/>
        <s v="Unfurnished"/>
      </sharedItems>
    </cacheField>
    <cacheField name="Payment Type" numFmtId="0">
      <sharedItems/>
    </cacheField>
    <cacheField name="pps" numFmtId="0">
      <sharedItems containsSemiMixedTypes="0" containsString="0" containsNumber="1" minValue="7179.017142857143" maxValue="20223.7189189189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n v="1"/>
    <x v="0"/>
    <x v="0"/>
    <x v="0"/>
    <n v="85"/>
    <n v="1142527"/>
    <n v="3"/>
    <n v="2"/>
    <s v="2023-08-11"/>
    <x v="0"/>
    <x v="0"/>
    <s v="Installments"/>
    <n v="13441.494117647058"/>
  </r>
  <r>
    <n v="2"/>
    <x v="1"/>
    <x v="1"/>
    <x v="0"/>
    <n v="170"/>
    <n v="2302132"/>
    <n v="4"/>
    <n v="3"/>
    <s v="2023-05-03"/>
    <x v="1"/>
    <x v="0"/>
    <s v="Installments"/>
    <n v="13541.952941176471"/>
  </r>
  <r>
    <n v="3"/>
    <x v="2"/>
    <x v="2"/>
    <x v="1"/>
    <n v="457"/>
    <n v="6446615"/>
    <n v="6"/>
    <n v="1"/>
    <s v="2023-01-03"/>
    <x v="1"/>
    <x v="1"/>
    <s v="Cash"/>
    <n v="14106.378555798687"/>
  </r>
  <r>
    <n v="4"/>
    <x v="0"/>
    <x v="0"/>
    <x v="2"/>
    <n v="94"/>
    <n v="1101458"/>
    <n v="0"/>
    <n v="1"/>
    <s v="2023-10-06"/>
    <x v="1"/>
    <x v="0"/>
    <s v="Cash"/>
    <n v="11717.63829787234"/>
  </r>
  <r>
    <n v="5"/>
    <x v="2"/>
    <x v="3"/>
    <x v="0"/>
    <n v="127"/>
    <n v="1797264"/>
    <n v="2"/>
    <n v="3"/>
    <s v="2023-01-20"/>
    <x v="1"/>
    <x v="2"/>
    <s v="Cash"/>
    <n v="14151.685039370079"/>
  </r>
  <r>
    <n v="6"/>
    <x v="1"/>
    <x v="1"/>
    <x v="0"/>
    <n v="124"/>
    <n v="1078505"/>
    <n v="3"/>
    <n v="4"/>
    <s v="2023-01-31"/>
    <x v="0"/>
    <x v="1"/>
    <s v="Installments"/>
    <n v="8697.6209677419356"/>
  </r>
  <r>
    <n v="7"/>
    <x v="2"/>
    <x v="3"/>
    <x v="2"/>
    <n v="146"/>
    <n v="1577665"/>
    <n v="0"/>
    <n v="4"/>
    <s v="2023-02-20"/>
    <x v="1"/>
    <x v="2"/>
    <s v="Installments"/>
    <n v="10805.924657534246"/>
  </r>
  <r>
    <n v="8"/>
    <x v="0"/>
    <x v="4"/>
    <x v="2"/>
    <n v="242"/>
    <n v="3442369"/>
    <n v="0"/>
    <n v="4"/>
    <s v="2023-07-01"/>
    <x v="1"/>
    <x v="0"/>
    <s v="Installments"/>
    <n v="14224.665289256198"/>
  </r>
  <r>
    <n v="9"/>
    <x v="1"/>
    <x v="1"/>
    <x v="0"/>
    <n v="94"/>
    <n v="1202656"/>
    <n v="3"/>
    <n v="4"/>
    <s v="2023-08-17"/>
    <x v="1"/>
    <x v="1"/>
    <s v="Installments"/>
    <n v="12794.212765957447"/>
  </r>
  <r>
    <n v="10"/>
    <x v="0"/>
    <x v="5"/>
    <x v="1"/>
    <n v="491"/>
    <n v="6712895"/>
    <n v="5"/>
    <n v="2"/>
    <s v="2023-02-04"/>
    <x v="0"/>
    <x v="0"/>
    <s v="Cash"/>
    <n v="13671.883910386965"/>
  </r>
  <r>
    <n v="11"/>
    <x v="2"/>
    <x v="6"/>
    <x v="2"/>
    <n v="185"/>
    <n v="3741388"/>
    <n v="0"/>
    <n v="1"/>
    <s v="2023-10-05"/>
    <x v="0"/>
    <x v="0"/>
    <s v="Installments"/>
    <n v="20223.718918918919"/>
  </r>
  <r>
    <n v="12"/>
    <x v="1"/>
    <x v="1"/>
    <x v="1"/>
    <n v="219"/>
    <n v="2626001"/>
    <n v="6"/>
    <n v="4"/>
    <s v="2023-10-16"/>
    <x v="1"/>
    <x v="0"/>
    <s v="Cash"/>
    <n v="11990.872146118722"/>
  </r>
  <r>
    <n v="13"/>
    <x v="2"/>
    <x v="3"/>
    <x v="0"/>
    <n v="75"/>
    <n v="815956"/>
    <n v="3"/>
    <n v="2"/>
    <s v="2023-06-09"/>
    <x v="1"/>
    <x v="1"/>
    <s v="Installments"/>
    <n v="10879.413333333334"/>
  </r>
  <r>
    <n v="14"/>
    <x v="2"/>
    <x v="7"/>
    <x v="1"/>
    <n v="244"/>
    <n v="2350356"/>
    <n v="4"/>
    <n v="4"/>
    <s v="2023-10-13"/>
    <x v="0"/>
    <x v="2"/>
    <s v="Cash"/>
    <n v="9632.6065573770484"/>
  </r>
  <r>
    <n v="15"/>
    <x v="1"/>
    <x v="8"/>
    <x v="0"/>
    <n v="160"/>
    <n v="1212574"/>
    <n v="2"/>
    <n v="1"/>
    <s v="2023-06-29"/>
    <x v="1"/>
    <x v="2"/>
    <s v="Installments"/>
    <n v="7578.5874999999996"/>
  </r>
  <r>
    <n v="16"/>
    <x v="2"/>
    <x v="7"/>
    <x v="2"/>
    <n v="82"/>
    <n v="916359"/>
    <n v="0"/>
    <n v="2"/>
    <s v="2023-07-27"/>
    <x v="1"/>
    <x v="2"/>
    <s v="Installments"/>
    <n v="11175.109756097561"/>
  </r>
  <r>
    <n v="17"/>
    <x v="0"/>
    <x v="5"/>
    <x v="2"/>
    <n v="158"/>
    <n v="1529432"/>
    <n v="0"/>
    <n v="4"/>
    <s v="2023-12-23"/>
    <x v="0"/>
    <x v="2"/>
    <s v="Cash"/>
    <n v="9679.9493670886077"/>
  </r>
  <r>
    <n v="18"/>
    <x v="0"/>
    <x v="4"/>
    <x v="2"/>
    <n v="93"/>
    <n v="1315234"/>
    <n v="0"/>
    <n v="3"/>
    <s v="2023-04-22"/>
    <x v="1"/>
    <x v="0"/>
    <s v="Installments"/>
    <n v="14142.301075268817"/>
  </r>
  <r>
    <n v="19"/>
    <x v="2"/>
    <x v="2"/>
    <x v="1"/>
    <n v="387"/>
    <n v="5419964"/>
    <n v="4"/>
    <n v="4"/>
    <s v="2023-01-19"/>
    <x v="1"/>
    <x v="2"/>
    <s v="Cash"/>
    <n v="14005.074935400517"/>
  </r>
  <r>
    <n v="20"/>
    <x v="1"/>
    <x v="1"/>
    <x v="1"/>
    <n v="402"/>
    <n v="3128139"/>
    <n v="6"/>
    <n v="3"/>
    <s v="2023-03-11"/>
    <x v="1"/>
    <x v="2"/>
    <s v="Cash"/>
    <n v="7781.440298507463"/>
  </r>
  <r>
    <n v="21"/>
    <x v="1"/>
    <x v="9"/>
    <x v="1"/>
    <n v="304"/>
    <n v="2653839"/>
    <n v="5"/>
    <n v="3"/>
    <s v="2023-02-10"/>
    <x v="1"/>
    <x v="1"/>
    <s v="Installments"/>
    <n v="8729.7335526315783"/>
  </r>
  <r>
    <n v="22"/>
    <x v="2"/>
    <x v="3"/>
    <x v="2"/>
    <n v="179"/>
    <n v="2206743"/>
    <n v="0"/>
    <n v="1"/>
    <s v="2023-10-02"/>
    <x v="0"/>
    <x v="1"/>
    <s v="Cash"/>
    <n v="12328.173184357542"/>
  </r>
  <r>
    <n v="23"/>
    <x v="2"/>
    <x v="3"/>
    <x v="1"/>
    <n v="443"/>
    <n v="8255649"/>
    <n v="4"/>
    <n v="3"/>
    <s v="2023-03-07"/>
    <x v="0"/>
    <x v="0"/>
    <s v="Installments"/>
    <n v="18635.776523702032"/>
  </r>
  <r>
    <n v="24"/>
    <x v="0"/>
    <x v="0"/>
    <x v="0"/>
    <n v="122"/>
    <n v="1661310"/>
    <n v="4"/>
    <n v="3"/>
    <s v="2023-07-02"/>
    <x v="1"/>
    <x v="2"/>
    <s v="Installments"/>
    <n v="13617.295081967213"/>
  </r>
  <r>
    <n v="25"/>
    <x v="0"/>
    <x v="0"/>
    <x v="1"/>
    <n v="339"/>
    <n v="3540186"/>
    <n v="3"/>
    <n v="1"/>
    <s v="2023-09-20"/>
    <x v="0"/>
    <x v="2"/>
    <s v="Cash"/>
    <n v="10443.026548672566"/>
  </r>
  <r>
    <n v="26"/>
    <x v="1"/>
    <x v="1"/>
    <x v="2"/>
    <n v="212"/>
    <n v="1952860"/>
    <n v="0"/>
    <n v="1"/>
    <s v="2023-10-20"/>
    <x v="1"/>
    <x v="0"/>
    <s v="Cash"/>
    <n v="9211.6037735849059"/>
  </r>
  <r>
    <n v="27"/>
    <x v="0"/>
    <x v="4"/>
    <x v="1"/>
    <n v="471"/>
    <n v="5871784"/>
    <n v="3"/>
    <n v="1"/>
    <s v="2023-12-17"/>
    <x v="0"/>
    <x v="0"/>
    <s v="Installments"/>
    <n v="12466.632696390658"/>
  </r>
  <r>
    <n v="28"/>
    <x v="2"/>
    <x v="3"/>
    <x v="1"/>
    <n v="334"/>
    <n v="3197553"/>
    <n v="4"/>
    <n v="3"/>
    <s v="2023-05-22"/>
    <x v="0"/>
    <x v="2"/>
    <s v="Cash"/>
    <n v="9573.5119760479047"/>
  </r>
  <r>
    <n v="29"/>
    <x v="0"/>
    <x v="4"/>
    <x v="1"/>
    <n v="224"/>
    <n v="2054576"/>
    <n v="6"/>
    <n v="1"/>
    <s v="2023-03-19"/>
    <x v="1"/>
    <x v="2"/>
    <s v="Cash"/>
    <n v="9172.2142857142862"/>
  </r>
  <r>
    <n v="30"/>
    <x v="2"/>
    <x v="6"/>
    <x v="2"/>
    <n v="238"/>
    <n v="3446911"/>
    <n v="0"/>
    <n v="2"/>
    <s v="2023-04-23"/>
    <x v="1"/>
    <x v="2"/>
    <s v="Cash"/>
    <n v="14482.819327731093"/>
  </r>
  <r>
    <n v="31"/>
    <x v="1"/>
    <x v="9"/>
    <x v="0"/>
    <n v="114"/>
    <n v="1407478"/>
    <n v="3"/>
    <n v="1"/>
    <s v="2023-08-07"/>
    <x v="1"/>
    <x v="2"/>
    <s v="Installments"/>
    <n v="12346.298245614034"/>
  </r>
  <r>
    <n v="32"/>
    <x v="2"/>
    <x v="2"/>
    <x v="2"/>
    <n v="94"/>
    <n v="1246996"/>
    <n v="0"/>
    <n v="4"/>
    <s v="2023-03-09"/>
    <x v="0"/>
    <x v="0"/>
    <s v="Cash"/>
    <n v="13265.91489361702"/>
  </r>
  <r>
    <n v="33"/>
    <x v="0"/>
    <x v="5"/>
    <x v="0"/>
    <n v="71"/>
    <n v="1038339"/>
    <n v="4"/>
    <n v="2"/>
    <s v="2023-02-09"/>
    <x v="1"/>
    <x v="0"/>
    <s v="Cash"/>
    <n v="14624.492957746479"/>
  </r>
  <r>
    <n v="34"/>
    <x v="2"/>
    <x v="6"/>
    <x v="2"/>
    <n v="80"/>
    <n v="1128713"/>
    <n v="0"/>
    <n v="3"/>
    <s v="2023-03-11"/>
    <x v="0"/>
    <x v="1"/>
    <s v="Installments"/>
    <n v="14108.9125"/>
  </r>
  <r>
    <n v="35"/>
    <x v="2"/>
    <x v="2"/>
    <x v="0"/>
    <n v="84"/>
    <n v="1320524"/>
    <n v="2"/>
    <n v="1"/>
    <s v="2023-10-02"/>
    <x v="0"/>
    <x v="1"/>
    <s v="Installments"/>
    <n v="15720.523809523809"/>
  </r>
  <r>
    <n v="36"/>
    <x v="1"/>
    <x v="9"/>
    <x v="0"/>
    <n v="122"/>
    <n v="1143698"/>
    <n v="2"/>
    <n v="1"/>
    <s v="2023-08-18"/>
    <x v="0"/>
    <x v="0"/>
    <s v="Cash"/>
    <n v="9374.5737704918029"/>
  </r>
  <r>
    <n v="37"/>
    <x v="2"/>
    <x v="3"/>
    <x v="1"/>
    <n v="474"/>
    <n v="7725985"/>
    <n v="4"/>
    <n v="3"/>
    <s v="2023-08-03"/>
    <x v="1"/>
    <x v="1"/>
    <s v="Cash"/>
    <n v="16299.54641350211"/>
  </r>
  <r>
    <n v="38"/>
    <x v="0"/>
    <x v="5"/>
    <x v="0"/>
    <n v="102"/>
    <n v="1276047"/>
    <n v="3"/>
    <n v="3"/>
    <s v="2023-07-18"/>
    <x v="1"/>
    <x v="1"/>
    <s v="Cash"/>
    <n v="12510.264705882353"/>
  </r>
  <r>
    <n v="39"/>
    <x v="1"/>
    <x v="1"/>
    <x v="1"/>
    <n v="479"/>
    <n v="3570743"/>
    <n v="3"/>
    <n v="3"/>
    <s v="2023-02-27"/>
    <x v="0"/>
    <x v="1"/>
    <s v="Cash"/>
    <n v="7454.5782881002087"/>
  </r>
  <r>
    <n v="40"/>
    <x v="1"/>
    <x v="9"/>
    <x v="0"/>
    <n v="168"/>
    <n v="1627144"/>
    <n v="4"/>
    <n v="2"/>
    <s v="2023-03-03"/>
    <x v="0"/>
    <x v="2"/>
    <s v="Installments"/>
    <n v="9685.3809523809523"/>
  </r>
  <r>
    <n v="41"/>
    <x v="2"/>
    <x v="7"/>
    <x v="1"/>
    <n v="461"/>
    <n v="6839298"/>
    <n v="6"/>
    <n v="4"/>
    <s v="2023-12-18"/>
    <x v="0"/>
    <x v="0"/>
    <s v="Installments"/>
    <n v="14835.787418655098"/>
  </r>
  <r>
    <n v="42"/>
    <x v="0"/>
    <x v="4"/>
    <x v="2"/>
    <n v="137"/>
    <n v="1763949"/>
    <n v="0"/>
    <n v="3"/>
    <s v="2023-11-01"/>
    <x v="1"/>
    <x v="2"/>
    <s v="Cash"/>
    <n v="12875.540145985402"/>
  </r>
  <r>
    <n v="43"/>
    <x v="0"/>
    <x v="4"/>
    <x v="1"/>
    <n v="308"/>
    <n v="2455994"/>
    <n v="3"/>
    <n v="1"/>
    <s v="2023-10-31"/>
    <x v="0"/>
    <x v="2"/>
    <s v="Cash"/>
    <n v="7974.0064935064938"/>
  </r>
  <r>
    <n v="44"/>
    <x v="0"/>
    <x v="0"/>
    <x v="0"/>
    <n v="176"/>
    <n v="1517845"/>
    <n v="4"/>
    <n v="4"/>
    <s v="2023-09-02"/>
    <x v="0"/>
    <x v="2"/>
    <s v="Cash"/>
    <n v="8624.119318181818"/>
  </r>
  <r>
    <n v="45"/>
    <x v="1"/>
    <x v="1"/>
    <x v="2"/>
    <n v="192"/>
    <n v="2317615"/>
    <n v="0"/>
    <n v="3"/>
    <s v="2023-11-16"/>
    <x v="1"/>
    <x v="0"/>
    <s v="Cash"/>
    <n v="12070.911458333334"/>
  </r>
  <r>
    <n v="46"/>
    <x v="2"/>
    <x v="2"/>
    <x v="2"/>
    <n v="118"/>
    <n v="1308602"/>
    <n v="0"/>
    <n v="1"/>
    <s v="2023-08-28"/>
    <x v="1"/>
    <x v="0"/>
    <s v="Installments"/>
    <n v="11089.847457627118"/>
  </r>
  <r>
    <n v="47"/>
    <x v="2"/>
    <x v="2"/>
    <x v="0"/>
    <n v="134"/>
    <n v="1769080"/>
    <n v="2"/>
    <n v="4"/>
    <s v="2023-08-11"/>
    <x v="0"/>
    <x v="1"/>
    <s v="Cash"/>
    <n v="13202.089552238805"/>
  </r>
  <r>
    <n v="48"/>
    <x v="0"/>
    <x v="4"/>
    <x v="1"/>
    <n v="283"/>
    <n v="2460103"/>
    <n v="5"/>
    <n v="4"/>
    <s v="2023-04-27"/>
    <x v="1"/>
    <x v="1"/>
    <s v="Cash"/>
    <n v="8692.9434628975268"/>
  </r>
  <r>
    <n v="49"/>
    <x v="0"/>
    <x v="0"/>
    <x v="2"/>
    <n v="243"/>
    <n v="2366186"/>
    <n v="0"/>
    <n v="4"/>
    <s v="2023-12-17"/>
    <x v="0"/>
    <x v="1"/>
    <s v="Installments"/>
    <n v="9737.390946502057"/>
  </r>
  <r>
    <n v="50"/>
    <x v="2"/>
    <x v="3"/>
    <x v="0"/>
    <n v="157"/>
    <n v="1933394"/>
    <n v="2"/>
    <n v="2"/>
    <s v="2023-07-10"/>
    <x v="0"/>
    <x v="1"/>
    <s v="Installments"/>
    <n v="12314.611464968153"/>
  </r>
  <r>
    <n v="51"/>
    <x v="0"/>
    <x v="5"/>
    <x v="2"/>
    <n v="86"/>
    <n v="1079567"/>
    <n v="0"/>
    <n v="4"/>
    <s v="2023-06-08"/>
    <x v="1"/>
    <x v="0"/>
    <s v="Installments"/>
    <n v="12553.10465116279"/>
  </r>
  <r>
    <n v="52"/>
    <x v="2"/>
    <x v="3"/>
    <x v="0"/>
    <n v="113"/>
    <n v="1967310"/>
    <n v="2"/>
    <n v="2"/>
    <s v="2023-07-01"/>
    <x v="0"/>
    <x v="1"/>
    <s v="Installments"/>
    <n v="17409.823008849558"/>
  </r>
  <r>
    <n v="53"/>
    <x v="2"/>
    <x v="6"/>
    <x v="2"/>
    <n v="140"/>
    <n v="2418732"/>
    <n v="0"/>
    <n v="1"/>
    <s v="2023-07-25"/>
    <x v="0"/>
    <x v="1"/>
    <s v="Installments"/>
    <n v="17276.657142857144"/>
  </r>
  <r>
    <n v="54"/>
    <x v="1"/>
    <x v="8"/>
    <x v="2"/>
    <n v="154"/>
    <n v="1357313"/>
    <n v="0"/>
    <n v="3"/>
    <s v="2023-08-19"/>
    <x v="1"/>
    <x v="1"/>
    <s v="Cash"/>
    <n v="8813.7207792207791"/>
  </r>
  <r>
    <n v="55"/>
    <x v="2"/>
    <x v="7"/>
    <x v="1"/>
    <n v="265"/>
    <n v="4550831"/>
    <n v="5"/>
    <n v="4"/>
    <s v="2023-10-01"/>
    <x v="1"/>
    <x v="1"/>
    <s v="Installments"/>
    <n v="17172.947169811319"/>
  </r>
  <r>
    <n v="56"/>
    <x v="1"/>
    <x v="9"/>
    <x v="2"/>
    <n v="146"/>
    <n v="1773384"/>
    <n v="0"/>
    <n v="2"/>
    <s v="2023-11-22"/>
    <x v="0"/>
    <x v="0"/>
    <s v="Cash"/>
    <n v="12146.465753424658"/>
  </r>
  <r>
    <n v="57"/>
    <x v="1"/>
    <x v="1"/>
    <x v="0"/>
    <n v="149"/>
    <n v="1546305"/>
    <n v="2"/>
    <n v="2"/>
    <s v="2023-03-22"/>
    <x v="0"/>
    <x v="0"/>
    <s v="Cash"/>
    <n v="10377.885906040268"/>
  </r>
  <r>
    <n v="58"/>
    <x v="1"/>
    <x v="1"/>
    <x v="2"/>
    <n v="250"/>
    <n v="2998945"/>
    <n v="0"/>
    <n v="4"/>
    <s v="2023-09-01"/>
    <x v="0"/>
    <x v="0"/>
    <s v="Installments"/>
    <n v="11995.78"/>
  </r>
  <r>
    <n v="59"/>
    <x v="1"/>
    <x v="1"/>
    <x v="1"/>
    <n v="332"/>
    <n v="3280092"/>
    <n v="4"/>
    <n v="3"/>
    <s v="2023-06-02"/>
    <x v="1"/>
    <x v="0"/>
    <s v="Installments"/>
    <n v="9879.795180722891"/>
  </r>
  <r>
    <n v="60"/>
    <x v="0"/>
    <x v="4"/>
    <x v="0"/>
    <n v="131"/>
    <n v="1751262"/>
    <n v="2"/>
    <n v="2"/>
    <s v="2023-05-03"/>
    <x v="1"/>
    <x v="1"/>
    <s v="Cash"/>
    <n v="13368.412213740457"/>
  </r>
  <r>
    <n v="61"/>
    <x v="1"/>
    <x v="8"/>
    <x v="1"/>
    <n v="223"/>
    <n v="2882530"/>
    <n v="3"/>
    <n v="1"/>
    <s v="2023-05-18"/>
    <x v="0"/>
    <x v="0"/>
    <s v="Installments"/>
    <n v="12926.143497757848"/>
  </r>
  <r>
    <n v="62"/>
    <x v="2"/>
    <x v="6"/>
    <x v="2"/>
    <n v="220"/>
    <n v="2745786"/>
    <n v="0"/>
    <n v="2"/>
    <s v="2023-02-18"/>
    <x v="1"/>
    <x v="1"/>
    <s v="Cash"/>
    <n v="12480.845454545455"/>
  </r>
  <r>
    <n v="63"/>
    <x v="1"/>
    <x v="8"/>
    <x v="1"/>
    <n v="481"/>
    <n v="5696980"/>
    <n v="5"/>
    <n v="4"/>
    <s v="2023-07-06"/>
    <x v="1"/>
    <x v="0"/>
    <s v="Cash"/>
    <n v="11844.033264033264"/>
  </r>
  <r>
    <n v="64"/>
    <x v="0"/>
    <x v="4"/>
    <x v="1"/>
    <n v="250"/>
    <n v="3058148"/>
    <n v="6"/>
    <n v="3"/>
    <s v="2023-12-03"/>
    <x v="1"/>
    <x v="2"/>
    <s v="Installments"/>
    <n v="12232.592000000001"/>
  </r>
  <r>
    <n v="65"/>
    <x v="2"/>
    <x v="3"/>
    <x v="0"/>
    <n v="105"/>
    <n v="1034366"/>
    <n v="2"/>
    <n v="1"/>
    <s v="2023-02-10"/>
    <x v="1"/>
    <x v="1"/>
    <s v="Cash"/>
    <n v="9851.1047619047622"/>
  </r>
  <r>
    <n v="66"/>
    <x v="2"/>
    <x v="6"/>
    <x v="2"/>
    <n v="171"/>
    <n v="2008835"/>
    <n v="0"/>
    <n v="4"/>
    <s v="2023-02-14"/>
    <x v="0"/>
    <x v="1"/>
    <s v="Installments"/>
    <n v="11747.573099415205"/>
  </r>
  <r>
    <n v="67"/>
    <x v="1"/>
    <x v="8"/>
    <x v="2"/>
    <n v="183"/>
    <n v="1972105"/>
    <n v="0"/>
    <n v="3"/>
    <s v="2023-07-26"/>
    <x v="0"/>
    <x v="1"/>
    <s v="Cash"/>
    <n v="10776.530054644809"/>
  </r>
  <r>
    <n v="68"/>
    <x v="2"/>
    <x v="6"/>
    <x v="0"/>
    <n v="164"/>
    <n v="2718610"/>
    <n v="4"/>
    <n v="4"/>
    <s v="2023-07-31"/>
    <x v="0"/>
    <x v="1"/>
    <s v="Installments"/>
    <n v="16576.890243902439"/>
  </r>
  <r>
    <n v="69"/>
    <x v="1"/>
    <x v="1"/>
    <x v="1"/>
    <n v="440"/>
    <n v="5400254"/>
    <n v="3"/>
    <n v="4"/>
    <s v="2023-06-10"/>
    <x v="0"/>
    <x v="1"/>
    <s v="Installments"/>
    <n v="12273.304545454546"/>
  </r>
  <r>
    <n v="70"/>
    <x v="2"/>
    <x v="7"/>
    <x v="0"/>
    <n v="160"/>
    <n v="2203045"/>
    <n v="3"/>
    <n v="4"/>
    <s v="2023-01-22"/>
    <x v="1"/>
    <x v="0"/>
    <s v="Cash"/>
    <n v="13769.03125"/>
  </r>
  <r>
    <n v="71"/>
    <x v="0"/>
    <x v="5"/>
    <x v="1"/>
    <n v="454"/>
    <n v="5273216"/>
    <n v="5"/>
    <n v="4"/>
    <s v="2023-12-04"/>
    <x v="1"/>
    <x v="0"/>
    <s v="Cash"/>
    <n v="11615.013215859031"/>
  </r>
  <r>
    <n v="72"/>
    <x v="0"/>
    <x v="0"/>
    <x v="2"/>
    <n v="197"/>
    <n v="2488063"/>
    <n v="0"/>
    <n v="2"/>
    <s v="2023-09-01"/>
    <x v="0"/>
    <x v="1"/>
    <s v="Installments"/>
    <n v="12629.761421319798"/>
  </r>
  <r>
    <n v="73"/>
    <x v="2"/>
    <x v="2"/>
    <x v="2"/>
    <n v="100"/>
    <n v="1492269"/>
    <n v="0"/>
    <n v="3"/>
    <s v="2023-02-04"/>
    <x v="0"/>
    <x v="1"/>
    <s v="Cash"/>
    <n v="14922.69"/>
  </r>
  <r>
    <n v="74"/>
    <x v="1"/>
    <x v="9"/>
    <x v="1"/>
    <n v="439"/>
    <n v="3655139"/>
    <n v="6"/>
    <n v="3"/>
    <s v="2023-03-23"/>
    <x v="1"/>
    <x v="2"/>
    <s v="Installments"/>
    <n v="8326.0569476082001"/>
  </r>
  <r>
    <n v="75"/>
    <x v="1"/>
    <x v="1"/>
    <x v="1"/>
    <n v="463"/>
    <n v="3703935"/>
    <n v="4"/>
    <n v="4"/>
    <s v="2023-11-23"/>
    <x v="0"/>
    <x v="0"/>
    <s v="Cash"/>
    <n v="7999.8596112311016"/>
  </r>
  <r>
    <n v="76"/>
    <x v="1"/>
    <x v="9"/>
    <x v="0"/>
    <n v="175"/>
    <n v="1256328"/>
    <n v="4"/>
    <n v="3"/>
    <s v="2023-04-19"/>
    <x v="1"/>
    <x v="2"/>
    <s v="Cash"/>
    <n v="7179.017142857143"/>
  </r>
  <r>
    <n v="77"/>
    <x v="1"/>
    <x v="8"/>
    <x v="2"/>
    <n v="177"/>
    <n v="1736125"/>
    <n v="0"/>
    <n v="2"/>
    <s v="2023-02-06"/>
    <x v="1"/>
    <x v="1"/>
    <s v="Installments"/>
    <n v="9808.6158192090388"/>
  </r>
  <r>
    <n v="78"/>
    <x v="0"/>
    <x v="5"/>
    <x v="0"/>
    <n v="178"/>
    <n v="2095318"/>
    <n v="3"/>
    <n v="4"/>
    <s v="2023-11-02"/>
    <x v="1"/>
    <x v="0"/>
    <s v="Installments"/>
    <n v="11771.449438202248"/>
  </r>
  <r>
    <n v="79"/>
    <x v="1"/>
    <x v="8"/>
    <x v="0"/>
    <n v="124"/>
    <n v="1333363"/>
    <n v="4"/>
    <n v="3"/>
    <s v="2023-06-23"/>
    <x v="0"/>
    <x v="2"/>
    <s v="Cash"/>
    <n v="10752.927419354839"/>
  </r>
  <r>
    <n v="80"/>
    <x v="2"/>
    <x v="7"/>
    <x v="1"/>
    <n v="335"/>
    <n v="5590176"/>
    <n v="5"/>
    <n v="3"/>
    <s v="2023-02-05"/>
    <x v="0"/>
    <x v="1"/>
    <s v="Cash"/>
    <n v="16687.092537313434"/>
  </r>
  <r>
    <n v="81"/>
    <x v="2"/>
    <x v="2"/>
    <x v="0"/>
    <n v="138"/>
    <n v="2063110"/>
    <n v="2"/>
    <n v="1"/>
    <s v="2023-11-09"/>
    <x v="0"/>
    <x v="2"/>
    <s v="Cash"/>
    <n v="14950.072463768116"/>
  </r>
  <r>
    <n v="82"/>
    <x v="1"/>
    <x v="1"/>
    <x v="2"/>
    <n v="100"/>
    <n v="955525"/>
    <n v="0"/>
    <n v="1"/>
    <s v="2023-05-21"/>
    <x v="1"/>
    <x v="1"/>
    <s v="Installments"/>
    <n v="9555.25"/>
  </r>
  <r>
    <n v="83"/>
    <x v="2"/>
    <x v="2"/>
    <x v="0"/>
    <n v="119"/>
    <n v="1804994"/>
    <n v="3"/>
    <n v="4"/>
    <s v="2023-01-11"/>
    <x v="1"/>
    <x v="0"/>
    <s v="Cash"/>
    <n v="15168.01680672269"/>
  </r>
  <r>
    <n v="84"/>
    <x v="0"/>
    <x v="0"/>
    <x v="0"/>
    <n v="99"/>
    <n v="1244668"/>
    <n v="2"/>
    <n v="1"/>
    <s v="2023-02-23"/>
    <x v="0"/>
    <x v="2"/>
    <s v="Installments"/>
    <n v="12572.404040404041"/>
  </r>
  <r>
    <n v="85"/>
    <x v="2"/>
    <x v="7"/>
    <x v="2"/>
    <n v="170"/>
    <n v="2034172"/>
    <n v="0"/>
    <n v="2"/>
    <s v="2023-01-09"/>
    <x v="0"/>
    <x v="0"/>
    <s v="Cash"/>
    <n v="11965.717647058824"/>
  </r>
  <r>
    <n v="86"/>
    <x v="2"/>
    <x v="7"/>
    <x v="0"/>
    <n v="104"/>
    <n v="1604634"/>
    <n v="4"/>
    <n v="2"/>
    <s v="2023-05-04"/>
    <x v="1"/>
    <x v="0"/>
    <s v="Installments"/>
    <n v="15429.173076923076"/>
  </r>
  <r>
    <n v="87"/>
    <x v="0"/>
    <x v="5"/>
    <x v="1"/>
    <n v="361"/>
    <n v="4501641"/>
    <n v="5"/>
    <n v="1"/>
    <s v="2023-05-25"/>
    <x v="0"/>
    <x v="2"/>
    <s v="Installments"/>
    <n v="12469.919667590028"/>
  </r>
  <r>
    <n v="88"/>
    <x v="2"/>
    <x v="7"/>
    <x v="0"/>
    <n v="116"/>
    <n v="1467027"/>
    <n v="4"/>
    <n v="2"/>
    <s v="2023-01-10"/>
    <x v="0"/>
    <x v="0"/>
    <s v="Installments"/>
    <n v="12646.784482758621"/>
  </r>
  <r>
    <n v="89"/>
    <x v="2"/>
    <x v="6"/>
    <x v="2"/>
    <n v="213"/>
    <n v="2508349"/>
    <n v="0"/>
    <n v="2"/>
    <s v="2023-01-10"/>
    <x v="0"/>
    <x v="1"/>
    <s v="Cash"/>
    <n v="11776.286384976525"/>
  </r>
  <r>
    <n v="90"/>
    <x v="1"/>
    <x v="8"/>
    <x v="0"/>
    <n v="82"/>
    <n v="1117272"/>
    <n v="2"/>
    <n v="2"/>
    <s v="2023-12-27"/>
    <x v="0"/>
    <x v="0"/>
    <s v="Installments"/>
    <n v="13625.268292682927"/>
  </r>
  <r>
    <n v="91"/>
    <x v="0"/>
    <x v="4"/>
    <x v="1"/>
    <n v="348"/>
    <n v="4704995"/>
    <n v="3"/>
    <n v="2"/>
    <s v="2023-08-02"/>
    <x v="0"/>
    <x v="0"/>
    <s v="Installments"/>
    <n v="13520.100574712644"/>
  </r>
  <r>
    <n v="92"/>
    <x v="2"/>
    <x v="6"/>
    <x v="2"/>
    <n v="227"/>
    <n v="3786576"/>
    <n v="0"/>
    <n v="2"/>
    <s v="2023-04-27"/>
    <x v="1"/>
    <x v="2"/>
    <s v="Installments"/>
    <n v="16680.95154185022"/>
  </r>
  <r>
    <n v="93"/>
    <x v="0"/>
    <x v="5"/>
    <x v="2"/>
    <n v="242"/>
    <n v="2613681"/>
    <n v="0"/>
    <n v="3"/>
    <s v="2023-04-27"/>
    <x v="0"/>
    <x v="2"/>
    <s v="Installments"/>
    <n v="10800.334710743802"/>
  </r>
  <r>
    <n v="94"/>
    <x v="0"/>
    <x v="0"/>
    <x v="2"/>
    <n v="214"/>
    <n v="2524531"/>
    <n v="0"/>
    <n v="4"/>
    <s v="2023-01-13"/>
    <x v="1"/>
    <x v="0"/>
    <s v="Cash"/>
    <n v="11796.873831775702"/>
  </r>
  <r>
    <n v="95"/>
    <x v="1"/>
    <x v="9"/>
    <x v="1"/>
    <n v="393"/>
    <n v="4252865"/>
    <n v="6"/>
    <n v="1"/>
    <s v="2023-01-05"/>
    <x v="0"/>
    <x v="0"/>
    <s v="Installments"/>
    <n v="10821.539440203562"/>
  </r>
  <r>
    <n v="96"/>
    <x v="1"/>
    <x v="1"/>
    <x v="0"/>
    <n v="85"/>
    <n v="928420"/>
    <n v="4"/>
    <n v="1"/>
    <s v="2023-08-31"/>
    <x v="0"/>
    <x v="0"/>
    <s v="Cash"/>
    <n v="10922.588235294117"/>
  </r>
  <r>
    <n v="97"/>
    <x v="2"/>
    <x v="2"/>
    <x v="2"/>
    <n v="180"/>
    <n v="2913058"/>
    <n v="0"/>
    <n v="4"/>
    <s v="2023-11-27"/>
    <x v="1"/>
    <x v="2"/>
    <s v="Installments"/>
    <n v="16183.655555555555"/>
  </r>
  <r>
    <n v="98"/>
    <x v="1"/>
    <x v="9"/>
    <x v="2"/>
    <n v="107"/>
    <n v="850357"/>
    <n v="0"/>
    <n v="4"/>
    <s v="2023-12-08"/>
    <x v="0"/>
    <x v="2"/>
    <s v="Cash"/>
    <n v="7947.2616822429909"/>
  </r>
  <r>
    <n v="99"/>
    <x v="1"/>
    <x v="1"/>
    <x v="0"/>
    <n v="126"/>
    <n v="1186047"/>
    <n v="2"/>
    <n v="1"/>
    <s v="2023-06-19"/>
    <x v="1"/>
    <x v="0"/>
    <s v="Installments"/>
    <n v="9413.0714285714294"/>
  </r>
  <r>
    <n v="100"/>
    <x v="0"/>
    <x v="5"/>
    <x v="0"/>
    <n v="174"/>
    <n v="1798547"/>
    <n v="2"/>
    <n v="4"/>
    <s v="2023-08-27"/>
    <x v="0"/>
    <x v="2"/>
    <s v="Cash"/>
    <n v="10336.477011494253"/>
  </r>
  <r>
    <n v="101"/>
    <x v="2"/>
    <x v="3"/>
    <x v="0"/>
    <n v="139"/>
    <n v="1860694"/>
    <n v="3"/>
    <n v="3"/>
    <s v="2023-03-04"/>
    <x v="1"/>
    <x v="0"/>
    <s v="Installments"/>
    <n v="13386.287769784172"/>
  </r>
  <r>
    <n v="102"/>
    <x v="1"/>
    <x v="1"/>
    <x v="0"/>
    <n v="108"/>
    <n v="939521"/>
    <n v="4"/>
    <n v="4"/>
    <s v="2023-05-17"/>
    <x v="0"/>
    <x v="2"/>
    <s v="Installments"/>
    <n v="8699.2685185185182"/>
  </r>
  <r>
    <n v="103"/>
    <x v="1"/>
    <x v="8"/>
    <x v="2"/>
    <n v="198"/>
    <n v="1669146"/>
    <n v="0"/>
    <n v="4"/>
    <s v="2023-02-16"/>
    <x v="1"/>
    <x v="0"/>
    <s v="Cash"/>
    <n v="8430.0303030303039"/>
  </r>
  <r>
    <n v="104"/>
    <x v="1"/>
    <x v="8"/>
    <x v="0"/>
    <n v="159"/>
    <n v="2090580"/>
    <n v="4"/>
    <n v="1"/>
    <s v="2023-07-19"/>
    <x v="1"/>
    <x v="0"/>
    <s v="Installments"/>
    <n v="13148.301886792453"/>
  </r>
  <r>
    <n v="105"/>
    <x v="1"/>
    <x v="8"/>
    <x v="2"/>
    <n v="148"/>
    <n v="1713281"/>
    <n v="0"/>
    <n v="2"/>
    <s v="2023-11-02"/>
    <x v="0"/>
    <x v="1"/>
    <s v="Installments"/>
    <n v="11576.222972972973"/>
  </r>
  <r>
    <n v="106"/>
    <x v="1"/>
    <x v="9"/>
    <x v="0"/>
    <n v="155"/>
    <n v="1185484"/>
    <n v="4"/>
    <n v="1"/>
    <s v="2023-10-20"/>
    <x v="1"/>
    <x v="1"/>
    <s v="Cash"/>
    <n v="7648.2838709677417"/>
  </r>
  <r>
    <n v="107"/>
    <x v="2"/>
    <x v="7"/>
    <x v="1"/>
    <n v="414"/>
    <n v="4712954"/>
    <n v="3"/>
    <n v="4"/>
    <s v="2023-01-10"/>
    <x v="0"/>
    <x v="1"/>
    <s v="Installments"/>
    <n v="11383.946859903381"/>
  </r>
  <r>
    <n v="108"/>
    <x v="0"/>
    <x v="5"/>
    <x v="1"/>
    <n v="407"/>
    <n v="4159686"/>
    <n v="5"/>
    <n v="4"/>
    <s v="2023-12-22"/>
    <x v="0"/>
    <x v="1"/>
    <s v="Installments"/>
    <n v="10220.358722358722"/>
  </r>
  <r>
    <n v="109"/>
    <x v="2"/>
    <x v="2"/>
    <x v="0"/>
    <n v="175"/>
    <n v="2971327"/>
    <n v="3"/>
    <n v="4"/>
    <s v="2023-12-08"/>
    <x v="0"/>
    <x v="1"/>
    <s v="Installments"/>
    <n v="16979.01142857143"/>
  </r>
  <r>
    <n v="110"/>
    <x v="1"/>
    <x v="9"/>
    <x v="2"/>
    <n v="175"/>
    <n v="1718477"/>
    <n v="0"/>
    <n v="4"/>
    <s v="2023-07-23"/>
    <x v="1"/>
    <x v="0"/>
    <s v="Installments"/>
    <n v="9819.8685714285712"/>
  </r>
  <r>
    <n v="111"/>
    <x v="2"/>
    <x v="7"/>
    <x v="1"/>
    <n v="474"/>
    <n v="6645159"/>
    <n v="4"/>
    <n v="1"/>
    <s v="2023-12-01"/>
    <x v="1"/>
    <x v="1"/>
    <s v="Installments"/>
    <n v="14019.322784810127"/>
  </r>
  <r>
    <n v="112"/>
    <x v="0"/>
    <x v="4"/>
    <x v="0"/>
    <n v="107"/>
    <n v="1523226"/>
    <n v="2"/>
    <n v="3"/>
    <s v="2023-01-27"/>
    <x v="1"/>
    <x v="1"/>
    <s v="Installments"/>
    <n v="14235.757009345794"/>
  </r>
  <r>
    <n v="113"/>
    <x v="1"/>
    <x v="1"/>
    <x v="1"/>
    <n v="285"/>
    <n v="2911481"/>
    <n v="6"/>
    <n v="4"/>
    <s v="2023-03-03"/>
    <x v="0"/>
    <x v="2"/>
    <s v="Cash"/>
    <n v="10215.722807017544"/>
  </r>
  <r>
    <n v="114"/>
    <x v="0"/>
    <x v="0"/>
    <x v="0"/>
    <n v="173"/>
    <n v="1791016"/>
    <n v="2"/>
    <n v="2"/>
    <s v="2023-06-03"/>
    <x v="0"/>
    <x v="2"/>
    <s v="Installments"/>
    <n v="10352.693641618496"/>
  </r>
  <r>
    <n v="115"/>
    <x v="2"/>
    <x v="6"/>
    <x v="1"/>
    <n v="462"/>
    <n v="8778025"/>
    <n v="4"/>
    <n v="2"/>
    <s v="2023-12-12"/>
    <x v="0"/>
    <x v="0"/>
    <s v="Installments"/>
    <n v="19000.054112554113"/>
  </r>
  <r>
    <n v="116"/>
    <x v="0"/>
    <x v="4"/>
    <x v="2"/>
    <n v="150"/>
    <n v="1703178"/>
    <n v="0"/>
    <n v="2"/>
    <s v="2023-03-13"/>
    <x v="0"/>
    <x v="0"/>
    <s v="Cash"/>
    <n v="11354.52"/>
  </r>
  <r>
    <n v="117"/>
    <x v="0"/>
    <x v="5"/>
    <x v="2"/>
    <n v="157"/>
    <n v="1953097"/>
    <n v="0"/>
    <n v="3"/>
    <s v="2023-02-25"/>
    <x v="0"/>
    <x v="2"/>
    <s v="Installments"/>
    <n v="12440.108280254777"/>
  </r>
  <r>
    <n v="118"/>
    <x v="0"/>
    <x v="0"/>
    <x v="2"/>
    <n v="93"/>
    <n v="933035"/>
    <n v="0"/>
    <n v="2"/>
    <s v="2023-09-08"/>
    <x v="0"/>
    <x v="0"/>
    <s v="Cash"/>
    <n v="10032.634408602151"/>
  </r>
  <r>
    <n v="119"/>
    <x v="2"/>
    <x v="7"/>
    <x v="1"/>
    <n v="370"/>
    <n v="5309131"/>
    <n v="3"/>
    <n v="3"/>
    <s v="2023-09-30"/>
    <x v="1"/>
    <x v="2"/>
    <s v="Cash"/>
    <n v="14349.002702702703"/>
  </r>
  <r>
    <n v="120"/>
    <x v="0"/>
    <x v="0"/>
    <x v="1"/>
    <n v="338"/>
    <n v="4598392"/>
    <n v="5"/>
    <n v="4"/>
    <s v="2023-03-26"/>
    <x v="1"/>
    <x v="2"/>
    <s v="Installments"/>
    <n v="13604.710059171597"/>
  </r>
  <r>
    <n v="121"/>
    <x v="2"/>
    <x v="7"/>
    <x v="2"/>
    <n v="120"/>
    <n v="1841934"/>
    <n v="0"/>
    <n v="4"/>
    <s v="2023-10-03"/>
    <x v="0"/>
    <x v="1"/>
    <s v="Cash"/>
    <n v="15349.45"/>
  </r>
  <r>
    <n v="122"/>
    <x v="2"/>
    <x v="3"/>
    <x v="2"/>
    <n v="126"/>
    <n v="1703719"/>
    <n v="0"/>
    <n v="1"/>
    <s v="2023-09-07"/>
    <x v="0"/>
    <x v="0"/>
    <s v="Cash"/>
    <n v="13521.579365079366"/>
  </r>
  <r>
    <n v="123"/>
    <x v="2"/>
    <x v="7"/>
    <x v="2"/>
    <n v="134"/>
    <n v="1443363"/>
    <n v="0"/>
    <n v="2"/>
    <s v="2023-08-12"/>
    <x v="1"/>
    <x v="0"/>
    <s v="Cash"/>
    <n v="10771.365671641792"/>
  </r>
  <r>
    <n v="124"/>
    <x v="1"/>
    <x v="8"/>
    <x v="0"/>
    <n v="110"/>
    <n v="850294"/>
    <n v="3"/>
    <n v="3"/>
    <s v="2023-02-05"/>
    <x v="1"/>
    <x v="2"/>
    <s v="Cash"/>
    <n v="7729.9454545454546"/>
  </r>
  <r>
    <n v="125"/>
    <x v="2"/>
    <x v="3"/>
    <x v="0"/>
    <n v="150"/>
    <n v="1714575"/>
    <n v="2"/>
    <n v="2"/>
    <s v="2023-11-14"/>
    <x v="0"/>
    <x v="0"/>
    <s v="Cash"/>
    <n v="11430.5"/>
  </r>
  <r>
    <n v="126"/>
    <x v="1"/>
    <x v="8"/>
    <x v="2"/>
    <n v="95"/>
    <n v="959887"/>
    <n v="0"/>
    <n v="4"/>
    <s v="2023-01-01"/>
    <x v="0"/>
    <x v="1"/>
    <s v="Installments"/>
    <n v="10104.073684210527"/>
  </r>
  <r>
    <n v="127"/>
    <x v="0"/>
    <x v="4"/>
    <x v="0"/>
    <n v="116"/>
    <n v="1171663"/>
    <n v="4"/>
    <n v="4"/>
    <s v="2023-08-05"/>
    <x v="1"/>
    <x v="2"/>
    <s v="Installments"/>
    <n v="10100.543103448275"/>
  </r>
  <r>
    <n v="128"/>
    <x v="1"/>
    <x v="8"/>
    <x v="2"/>
    <n v="213"/>
    <n v="2095570"/>
    <n v="0"/>
    <n v="1"/>
    <s v="2024-01-01"/>
    <x v="0"/>
    <x v="0"/>
    <s v="Cash"/>
    <n v="9838.3568075117364"/>
  </r>
  <r>
    <n v="129"/>
    <x v="0"/>
    <x v="0"/>
    <x v="2"/>
    <n v="224"/>
    <n v="2338821"/>
    <n v="0"/>
    <n v="1"/>
    <s v="2023-07-06"/>
    <x v="0"/>
    <x v="1"/>
    <s v="Cash"/>
    <n v="10441.165178571429"/>
  </r>
  <r>
    <n v="130"/>
    <x v="2"/>
    <x v="7"/>
    <x v="1"/>
    <n v="428"/>
    <n v="4495878"/>
    <n v="6"/>
    <n v="4"/>
    <s v="2023-01-24"/>
    <x v="1"/>
    <x v="2"/>
    <s v="Installments"/>
    <n v="10504.38785046729"/>
  </r>
  <r>
    <n v="131"/>
    <x v="1"/>
    <x v="8"/>
    <x v="1"/>
    <n v="374"/>
    <n v="4007260"/>
    <n v="5"/>
    <n v="4"/>
    <s v="2023-02-05"/>
    <x v="0"/>
    <x v="1"/>
    <s v="Installments"/>
    <n v="10714.598930481283"/>
  </r>
  <r>
    <n v="132"/>
    <x v="2"/>
    <x v="3"/>
    <x v="2"/>
    <n v="101"/>
    <n v="1350687"/>
    <n v="0"/>
    <n v="2"/>
    <s v="2023-02-25"/>
    <x v="0"/>
    <x v="2"/>
    <s v="Cash"/>
    <n v="13373.138613861385"/>
  </r>
  <r>
    <n v="133"/>
    <x v="0"/>
    <x v="0"/>
    <x v="0"/>
    <n v="167"/>
    <n v="1887711"/>
    <n v="4"/>
    <n v="2"/>
    <s v="2023-05-16"/>
    <x v="1"/>
    <x v="2"/>
    <s v="Cash"/>
    <n v="11303.65868263473"/>
  </r>
  <r>
    <n v="134"/>
    <x v="0"/>
    <x v="4"/>
    <x v="1"/>
    <n v="310"/>
    <n v="4305374"/>
    <n v="6"/>
    <n v="4"/>
    <s v="2023-12-05"/>
    <x v="1"/>
    <x v="2"/>
    <s v="Installments"/>
    <n v="13888.303225806452"/>
  </r>
  <r>
    <n v="135"/>
    <x v="2"/>
    <x v="6"/>
    <x v="1"/>
    <n v="283"/>
    <n v="4938072"/>
    <n v="6"/>
    <n v="4"/>
    <s v="2023-04-17"/>
    <x v="1"/>
    <x v="0"/>
    <s v="Installments"/>
    <n v="17449.017667844524"/>
  </r>
  <r>
    <n v="136"/>
    <x v="0"/>
    <x v="4"/>
    <x v="1"/>
    <n v="269"/>
    <n v="3626205"/>
    <n v="5"/>
    <n v="3"/>
    <s v="2023-03-26"/>
    <x v="0"/>
    <x v="1"/>
    <s v="Installments"/>
    <n v="13480.315985130112"/>
  </r>
  <r>
    <n v="137"/>
    <x v="1"/>
    <x v="9"/>
    <x v="1"/>
    <n v="231"/>
    <n v="2888009"/>
    <n v="3"/>
    <n v="4"/>
    <s v="2023-12-16"/>
    <x v="1"/>
    <x v="0"/>
    <s v="Cash"/>
    <n v="12502.203463203463"/>
  </r>
  <r>
    <n v="138"/>
    <x v="2"/>
    <x v="7"/>
    <x v="2"/>
    <n v="244"/>
    <n v="3583521"/>
    <n v="0"/>
    <n v="3"/>
    <s v="2023-05-16"/>
    <x v="0"/>
    <x v="2"/>
    <s v="Installments"/>
    <n v="14686.561475409837"/>
  </r>
  <r>
    <n v="139"/>
    <x v="0"/>
    <x v="4"/>
    <x v="0"/>
    <n v="74"/>
    <n v="1012517"/>
    <n v="4"/>
    <n v="1"/>
    <s v="2023-07-20"/>
    <x v="1"/>
    <x v="0"/>
    <s v="Cash"/>
    <n v="13682.662162162162"/>
  </r>
  <r>
    <n v="140"/>
    <x v="2"/>
    <x v="3"/>
    <x v="2"/>
    <n v="230"/>
    <n v="2931894"/>
    <n v="0"/>
    <n v="2"/>
    <s v="2023-01-19"/>
    <x v="0"/>
    <x v="1"/>
    <s v="Cash"/>
    <n v="12747.365217391305"/>
  </r>
  <r>
    <n v="141"/>
    <x v="0"/>
    <x v="0"/>
    <x v="1"/>
    <n v="235"/>
    <n v="2421130"/>
    <n v="6"/>
    <n v="1"/>
    <s v="2023-02-23"/>
    <x v="1"/>
    <x v="0"/>
    <s v="Installments"/>
    <n v="10302.680851063829"/>
  </r>
  <r>
    <n v="142"/>
    <x v="2"/>
    <x v="6"/>
    <x v="0"/>
    <n v="82"/>
    <n v="1136373"/>
    <n v="4"/>
    <n v="4"/>
    <s v="2023-10-01"/>
    <x v="1"/>
    <x v="1"/>
    <s v="Cash"/>
    <n v="13858.207317073171"/>
  </r>
  <r>
    <n v="143"/>
    <x v="1"/>
    <x v="1"/>
    <x v="2"/>
    <n v="218"/>
    <n v="2147465"/>
    <n v="0"/>
    <n v="1"/>
    <s v="2023-09-12"/>
    <x v="1"/>
    <x v="1"/>
    <s v="Installments"/>
    <n v="9850.7568807339449"/>
  </r>
  <r>
    <n v="144"/>
    <x v="2"/>
    <x v="2"/>
    <x v="1"/>
    <n v="397"/>
    <n v="6678117"/>
    <n v="4"/>
    <n v="4"/>
    <s v="2023-04-08"/>
    <x v="1"/>
    <x v="0"/>
    <s v="Cash"/>
    <n v="16821.453400503779"/>
  </r>
  <r>
    <n v="145"/>
    <x v="1"/>
    <x v="1"/>
    <x v="0"/>
    <n v="77"/>
    <n v="665239"/>
    <n v="4"/>
    <n v="4"/>
    <s v="2023-09-09"/>
    <x v="1"/>
    <x v="0"/>
    <s v="Cash"/>
    <n v="8639.4675324675318"/>
  </r>
  <r>
    <n v="146"/>
    <x v="2"/>
    <x v="3"/>
    <x v="1"/>
    <n v="278"/>
    <n v="4014510"/>
    <n v="5"/>
    <n v="2"/>
    <s v="2023-12-16"/>
    <x v="1"/>
    <x v="0"/>
    <s v="Cash"/>
    <n v="14440.683453237411"/>
  </r>
  <r>
    <n v="147"/>
    <x v="1"/>
    <x v="8"/>
    <x v="2"/>
    <n v="106"/>
    <n v="1342309"/>
    <n v="0"/>
    <n v="2"/>
    <s v="2023-09-08"/>
    <x v="1"/>
    <x v="1"/>
    <s v="Installments"/>
    <n v="12663.292452830188"/>
  </r>
  <r>
    <n v="148"/>
    <x v="0"/>
    <x v="5"/>
    <x v="2"/>
    <n v="81"/>
    <n v="721745"/>
    <n v="0"/>
    <n v="4"/>
    <s v="2023-05-11"/>
    <x v="1"/>
    <x v="2"/>
    <s v="Cash"/>
    <n v="8910.4320987654319"/>
  </r>
  <r>
    <n v="149"/>
    <x v="0"/>
    <x v="0"/>
    <x v="1"/>
    <n v="357"/>
    <n v="4214004"/>
    <n v="6"/>
    <n v="4"/>
    <s v="2023-02-26"/>
    <x v="0"/>
    <x v="1"/>
    <s v="Cash"/>
    <n v="11803.932773109243"/>
  </r>
  <r>
    <n v="150"/>
    <x v="2"/>
    <x v="7"/>
    <x v="0"/>
    <n v="162"/>
    <n v="1930010"/>
    <n v="2"/>
    <n v="4"/>
    <s v="2023-07-14"/>
    <x v="0"/>
    <x v="0"/>
    <s v="Installments"/>
    <n v="11913.6419753086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B647D2-3E1F-4D79-A27E-E7F68580F2EB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ity">
  <location ref="D43:G48" firstHeaderRow="1" firstDataRow="2" firstDataCol="1"/>
  <pivotFields count="13">
    <pivotField showAll="0"/>
    <pivotField axis="axisRow" showAll="0">
      <items count="4">
        <item x="1"/>
        <item x="2"/>
        <item x="0"/>
        <item t="default"/>
      </items>
    </pivotField>
    <pivotField showAll="0">
      <items count="11">
        <item x="4"/>
        <item x="9"/>
        <item x="0"/>
        <item x="3"/>
        <item x="2"/>
        <item x="7"/>
        <item x="6"/>
        <item x="5"/>
        <item x="8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of Sale Status" fld="9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FC7CB9-5EFC-42CA-88F9-53B9F4C36705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Furnished">
  <location ref="A42:B58" firstHeaderRow="1" firstDataRow="1" firstDataCol="1"/>
  <pivotFields count="13">
    <pivotField subtotalTop="0" showAll="0"/>
    <pivotField axis="axisRow" subtotalTop="0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ubtotalTop="0" showAll="0">
      <items count="11">
        <item x="4"/>
        <item x="9"/>
        <item x="0"/>
        <item x="3"/>
        <item x="2"/>
        <item x="7"/>
        <item x="6"/>
        <item x="5"/>
        <item x="8"/>
        <item x="1"/>
        <item t="default"/>
      </items>
    </pivotField>
    <pivotField subtotalTop="0" showAll="0"/>
    <pivotField subtotalTop="0" showAll="0"/>
    <pivotField dataField="1" subtotalTop="0" showAll="0"/>
    <pivotField subtotalTop="0" showAll="0"/>
    <pivotField subtotalTop="0" showAll="0"/>
    <pivotField subtotalTop="0" showAll="0"/>
    <pivotField subtotalTop="0" showAll="0"/>
    <pivotField axis="axisRow" subtotalTop="0" showAll="0">
      <items count="4">
        <item x="0"/>
        <item x="1"/>
        <item x="2"/>
        <item t="default"/>
      </items>
    </pivotField>
    <pivotField subtotalTop="0" showAll="0"/>
    <pivotField subtotalTop="0" showAll="0"/>
  </pivotFields>
  <rowFields count="2">
    <field x="1"/>
    <field x="10"/>
  </rowFields>
  <rowItems count="16">
    <i>
      <x v="1"/>
    </i>
    <i r="1">
      <x/>
    </i>
    <i r="1">
      <x v="1"/>
    </i>
    <i r="1">
      <x v="2"/>
    </i>
    <i t="default">
      <x v="1"/>
    </i>
    <i>
      <x v="2"/>
    </i>
    <i r="1">
      <x/>
    </i>
    <i r="1">
      <x v="1"/>
    </i>
    <i r="1">
      <x v="2"/>
    </i>
    <i t="default">
      <x v="2"/>
    </i>
    <i>
      <x/>
    </i>
    <i r="1">
      <x/>
    </i>
    <i r="1">
      <x v="1"/>
    </i>
    <i r="1">
      <x v="2"/>
    </i>
    <i t="default">
      <x/>
    </i>
    <i t="grand">
      <x/>
    </i>
  </rowItems>
  <colItems count="1">
    <i/>
  </colItems>
  <dataFields count="1">
    <dataField name="Average of Price" fld="5" subtotal="average" baseField="1" baseItem="0" numFmtId="16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339A00-DD8B-4210-A564-7E89C133199E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rea">
  <location ref="E26:F37" firstHeaderRow="1" firstDataRow="1" firstDataCol="1"/>
  <pivotFields count="13">
    <pivotField showAll="0"/>
    <pivotField showAll="0"/>
    <pivotField axis="axisRow" showAll="0" sortType="descending">
      <items count="11">
        <item x="4"/>
        <item x="9"/>
        <item x="0"/>
        <item x="3"/>
        <item x="2"/>
        <item x="7"/>
        <item x="6"/>
        <item x="5"/>
        <item x="8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11">
    <i>
      <x v="6"/>
    </i>
    <i>
      <x v="4"/>
    </i>
    <i>
      <x v="5"/>
    </i>
    <i>
      <x v="3"/>
    </i>
    <i>
      <x/>
    </i>
    <i>
      <x v="7"/>
    </i>
    <i>
      <x v="2"/>
    </i>
    <i>
      <x v="8"/>
    </i>
    <i>
      <x v="9"/>
    </i>
    <i>
      <x v="1"/>
    </i>
    <i t="grand">
      <x/>
    </i>
  </rowItems>
  <colItems count="1">
    <i/>
  </colItems>
  <dataFields count="1">
    <dataField name="Average of pps" fld="12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DA104F-7FCB-42EC-9A11-9F04A9C7575C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property type">
  <location ref="A27:B31" firstHeaderRow="1" firstDataRow="1" firstDataCol="1"/>
  <pivotFields count="13"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Price" fld="5" subtotal="average" baseField="3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35A9B8-6664-4F9B-9105-3548BE482F5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sale state">
  <location ref="A7:B10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unt of Sale Status" fld="9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DFC765-8E08-4544-8735-3B94C0884428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ity">
  <location ref="E17:I22" firstHeaderRow="1" firstDataRow="2" firstDataCol="1"/>
  <pivotFields count="13">
    <pivotField showAll="0"/>
    <pivotField axis="axisRow" showAll="0">
      <items count="4">
        <item x="1"/>
        <item x="2"/>
        <item x="0"/>
        <item t="default"/>
      </items>
    </pivotField>
    <pivotField showAll="0"/>
    <pivotField axis="axisCol" dataField="1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Count of Property Type" fld="3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6BD0FF-6D5A-489F-9841-8F896DB8F98B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Furnished">
  <location ref="I28:J32" firstHeaderRow="1" firstDataRow="1" firstDataCol="1"/>
  <pivotFields count="13">
    <pivotField showAll="0"/>
    <pivotField showAll="0"/>
    <pivotField showAll="0">
      <items count="11">
        <item x="4"/>
        <item x="9"/>
        <item x="0"/>
        <item x="3"/>
        <item x="2"/>
        <item x="7"/>
        <item x="6"/>
        <item x="5"/>
        <item x="8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Price" fld="5" subtotal="average" baseField="1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D2F067-BBAF-4CE8-A4AD-FEFA0574C4CB}" name="PivotTable1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:B4" firstHeaderRow="0" firstDataRow="1" firstDataCol="0"/>
  <pivotFields count="13"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Count of Property ID" fld="0" subtotal="count" baseField="0" baseItem="1"/>
    <dataField name="Average of Price" fld="5" subtotal="average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5B8FDD-C3EF-479D-9611-7485E03A724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ity">
  <location ref="A20:B24" firstHeaderRow="1" firstDataRow="1" firstDataCol="1"/>
  <pivotFields count="13"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Price" fld="5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FFBB21-46B5-4A5F-94C4-EAA53B36190F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rea">
  <location ref="E3:F14" firstHeaderRow="1" firstDataRow="1" firstDataCol="1"/>
  <pivotFields count="13">
    <pivotField showAll="0"/>
    <pivotField showAll="0"/>
    <pivotField axis="axisRow" showAll="0">
      <items count="11">
        <item x="4"/>
        <item x="9"/>
        <item x="0"/>
        <item x="3"/>
        <item x="2"/>
        <item x="7"/>
        <item x="6"/>
        <item x="5"/>
        <item x="8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Price" fld="5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62AEAF-94C9-43DD-9CE7-BDACC09704F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ity">
  <location ref="A13:B17" firstHeaderRow="1" firstDataRow="1" firstDataCol="1"/>
  <pivotFields count="13">
    <pivotField dataField="1"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Count of Property ID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2D244A4-7E80-408F-AD4D-18FC60DE4CE1}" name="Table4" displayName="Table4" ref="A1:M151" totalsRowShown="0">
  <autoFilter ref="A1:M151" xr:uid="{02D244A4-7E80-408F-AD4D-18FC60DE4CE1}"/>
  <tableColumns count="13">
    <tableColumn id="1" xr3:uid="{78009E13-C320-405C-A418-9EDADC4037E1}" name="Property ID"/>
    <tableColumn id="2" xr3:uid="{5A44086A-A70D-42FF-9AA2-862D6DEE154D}" name="City"/>
    <tableColumn id="3" xr3:uid="{023E105A-BB18-4FDD-8A25-FB7436062176}" name="Area"/>
    <tableColumn id="4" xr3:uid="{DAF9C3FF-0F0D-46DA-A1F6-9B21EE6BC1F9}" name="Property Type"/>
    <tableColumn id="5" xr3:uid="{BE7CE4FF-E0DE-46C9-B7BD-9DE8E50F59C8}" name="Size (sqm)"/>
    <tableColumn id="6" xr3:uid="{B3C26CB9-D13F-4D88-8AF4-0EDD0F99635D}" name="Price"/>
    <tableColumn id="7" xr3:uid="{755EA1DC-DED0-415E-A852-5164C4368CBD}" name="Bedrooms"/>
    <tableColumn id="8" xr3:uid="{9B00AC26-5023-43EB-B1C9-0F2A106BBB25}" name="Bathrooms"/>
    <tableColumn id="9" xr3:uid="{A7162F11-54B0-4A07-A969-A29C80ACE38A}" name="Listing Date"/>
    <tableColumn id="10" xr3:uid="{378F829C-3FBE-44B8-8481-A120437AE3F3}" name="Sale Status"/>
    <tableColumn id="11" xr3:uid="{315A4938-AEC7-4139-969C-23A9FADFF49F}" name="Furnishing"/>
    <tableColumn id="12" xr3:uid="{24E14BD0-F273-4AE9-BBB0-321D37E90FA1}" name="Payment Type"/>
    <tableColumn id="13" xr3:uid="{075143C5-975F-4ECD-BA95-77D94A61B0C6}" name="pps" dataDxfId="1">
      <calculatedColumnFormula>Table4[[#This Row],[Price]]/Table4[[#This Row],[Size (sqm)]]</calculatedColumnFormula>
    </tableColumn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1718B-BE10-45DA-B1D5-5638DD034157}">
  <dimension ref="A1:M151"/>
  <sheetViews>
    <sheetView workbookViewId="0">
      <selection activeCell="M3" sqref="M3"/>
    </sheetView>
  </sheetViews>
  <sheetFormatPr defaultRowHeight="13.8" x14ac:dyDescent="0.25"/>
  <cols>
    <col min="1" max="1" width="12.796875" bestFit="1" customWidth="1"/>
    <col min="2" max="2" width="9.19921875" bestFit="1" customWidth="1"/>
    <col min="3" max="3" width="11.8984375" bestFit="1" customWidth="1"/>
    <col min="4" max="4" width="15.5" bestFit="1" customWidth="1"/>
    <col min="5" max="5" width="12.09765625" bestFit="1" customWidth="1"/>
    <col min="6" max="6" width="7.8984375" bestFit="1" customWidth="1"/>
    <col min="7" max="7" width="12" bestFit="1" customWidth="1"/>
    <col min="8" max="8" width="12.5" bestFit="1" customWidth="1"/>
    <col min="9" max="9" width="13.296875" bestFit="1" customWidth="1"/>
    <col min="10" max="10" width="12.69921875" bestFit="1" customWidth="1"/>
    <col min="11" max="11" width="13.5" bestFit="1" customWidth="1"/>
    <col min="12" max="12" width="15.69921875" bestFit="1" customWidth="1"/>
    <col min="15" max="15" width="10.39843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166</v>
      </c>
    </row>
    <row r="2" spans="1:13" x14ac:dyDescent="0.25">
      <c r="A2">
        <v>1</v>
      </c>
      <c r="B2" t="s">
        <v>12</v>
      </c>
      <c r="C2" t="s">
        <v>13</v>
      </c>
      <c r="D2" t="s">
        <v>14</v>
      </c>
      <c r="E2">
        <v>85</v>
      </c>
      <c r="F2">
        <v>1142527</v>
      </c>
      <c r="G2">
        <v>3</v>
      </c>
      <c r="H2">
        <v>2</v>
      </c>
      <c r="I2" t="s">
        <v>15</v>
      </c>
      <c r="J2" t="s">
        <v>16</v>
      </c>
      <c r="K2" t="s">
        <v>17</v>
      </c>
      <c r="L2" t="s">
        <v>18</v>
      </c>
      <c r="M2">
        <f>Table4[[#This Row],[Price]]/Table4[[#This Row],[Size (sqm)]]</f>
        <v>13441.494117647058</v>
      </c>
    </row>
    <row r="3" spans="1:13" x14ac:dyDescent="0.25">
      <c r="A3">
        <v>2</v>
      </c>
      <c r="B3" t="s">
        <v>19</v>
      </c>
      <c r="C3" t="s">
        <v>20</v>
      </c>
      <c r="D3" t="s">
        <v>14</v>
      </c>
      <c r="E3">
        <v>170</v>
      </c>
      <c r="F3">
        <v>2302132</v>
      </c>
      <c r="G3">
        <v>4</v>
      </c>
      <c r="H3">
        <v>3</v>
      </c>
      <c r="I3" t="s">
        <v>21</v>
      </c>
      <c r="J3" t="s">
        <v>22</v>
      </c>
      <c r="K3" t="s">
        <v>17</v>
      </c>
      <c r="L3" t="s">
        <v>18</v>
      </c>
      <c r="M3">
        <f>Table4[[#This Row],[Price]]/Table4[[#This Row],[Size (sqm)]]</f>
        <v>13541.952941176471</v>
      </c>
    </row>
    <row r="4" spans="1:13" x14ac:dyDescent="0.25">
      <c r="A4">
        <v>3</v>
      </c>
      <c r="B4" t="s">
        <v>23</v>
      </c>
      <c r="C4" t="s">
        <v>24</v>
      </c>
      <c r="D4" t="s">
        <v>25</v>
      </c>
      <c r="E4">
        <v>457</v>
      </c>
      <c r="F4">
        <v>6446615</v>
      </c>
      <c r="G4">
        <v>6</v>
      </c>
      <c r="H4">
        <v>1</v>
      </c>
      <c r="I4" t="s">
        <v>26</v>
      </c>
      <c r="J4" t="s">
        <v>22</v>
      </c>
      <c r="K4" t="s">
        <v>27</v>
      </c>
      <c r="L4" t="s">
        <v>28</v>
      </c>
      <c r="M4">
        <f>Table4[[#This Row],[Price]]/Table4[[#This Row],[Size (sqm)]]</f>
        <v>14106.378555798687</v>
      </c>
    </row>
    <row r="5" spans="1:13" x14ac:dyDescent="0.25">
      <c r="A5">
        <v>4</v>
      </c>
      <c r="B5" t="s">
        <v>12</v>
      </c>
      <c r="C5" t="s">
        <v>13</v>
      </c>
      <c r="D5" t="s">
        <v>29</v>
      </c>
      <c r="E5">
        <v>94</v>
      </c>
      <c r="F5">
        <v>1101458</v>
      </c>
      <c r="G5">
        <v>0</v>
      </c>
      <c r="H5">
        <v>1</v>
      </c>
      <c r="I5" t="s">
        <v>30</v>
      </c>
      <c r="J5" t="s">
        <v>22</v>
      </c>
      <c r="K5" t="s">
        <v>17</v>
      </c>
      <c r="L5" t="s">
        <v>28</v>
      </c>
      <c r="M5">
        <f>Table4[[#This Row],[Price]]/Table4[[#This Row],[Size (sqm)]]</f>
        <v>11717.63829787234</v>
      </c>
    </row>
    <row r="6" spans="1:13" x14ac:dyDescent="0.25">
      <c r="A6">
        <v>5</v>
      </c>
      <c r="B6" t="s">
        <v>23</v>
      </c>
      <c r="C6" t="s">
        <v>31</v>
      </c>
      <c r="D6" t="s">
        <v>14</v>
      </c>
      <c r="E6">
        <v>127</v>
      </c>
      <c r="F6">
        <v>1797264</v>
      </c>
      <c r="G6">
        <v>2</v>
      </c>
      <c r="H6">
        <v>3</v>
      </c>
      <c r="I6" t="s">
        <v>32</v>
      </c>
      <c r="J6" t="s">
        <v>22</v>
      </c>
      <c r="K6" t="s">
        <v>33</v>
      </c>
      <c r="L6" t="s">
        <v>28</v>
      </c>
      <c r="M6">
        <f>Table4[[#This Row],[Price]]/Table4[[#This Row],[Size (sqm)]]</f>
        <v>14151.685039370079</v>
      </c>
    </row>
    <row r="7" spans="1:13" x14ac:dyDescent="0.25">
      <c r="A7">
        <v>6</v>
      </c>
      <c r="B7" t="s">
        <v>19</v>
      </c>
      <c r="C7" t="s">
        <v>20</v>
      </c>
      <c r="D7" t="s">
        <v>14</v>
      </c>
      <c r="E7">
        <v>124</v>
      </c>
      <c r="F7">
        <v>1078505</v>
      </c>
      <c r="G7">
        <v>3</v>
      </c>
      <c r="H7">
        <v>4</v>
      </c>
      <c r="I7" t="s">
        <v>34</v>
      </c>
      <c r="J7" t="s">
        <v>16</v>
      </c>
      <c r="K7" t="s">
        <v>27</v>
      </c>
      <c r="L7" t="s">
        <v>18</v>
      </c>
      <c r="M7">
        <f>Table4[[#This Row],[Price]]/Table4[[#This Row],[Size (sqm)]]</f>
        <v>8697.6209677419356</v>
      </c>
    </row>
    <row r="8" spans="1:13" x14ac:dyDescent="0.25">
      <c r="A8">
        <v>7</v>
      </c>
      <c r="B8" t="s">
        <v>23</v>
      </c>
      <c r="C8" t="s">
        <v>31</v>
      </c>
      <c r="D8" t="s">
        <v>29</v>
      </c>
      <c r="E8">
        <v>146</v>
      </c>
      <c r="F8">
        <v>1577665</v>
      </c>
      <c r="G8">
        <v>0</v>
      </c>
      <c r="H8">
        <v>4</v>
      </c>
      <c r="I8" t="s">
        <v>35</v>
      </c>
      <c r="J8" t="s">
        <v>22</v>
      </c>
      <c r="K8" t="s">
        <v>33</v>
      </c>
      <c r="L8" t="s">
        <v>18</v>
      </c>
      <c r="M8">
        <f>Table4[[#This Row],[Price]]/Table4[[#This Row],[Size (sqm)]]</f>
        <v>10805.924657534246</v>
      </c>
    </row>
    <row r="9" spans="1:13" x14ac:dyDescent="0.25">
      <c r="A9">
        <v>8</v>
      </c>
      <c r="B9" t="s">
        <v>12</v>
      </c>
      <c r="C9" t="s">
        <v>36</v>
      </c>
      <c r="D9" t="s">
        <v>29</v>
      </c>
      <c r="E9">
        <v>242</v>
      </c>
      <c r="F9">
        <v>3442369</v>
      </c>
      <c r="G9">
        <v>0</v>
      </c>
      <c r="H9">
        <v>4</v>
      </c>
      <c r="I9" t="s">
        <v>37</v>
      </c>
      <c r="J9" t="s">
        <v>22</v>
      </c>
      <c r="K9" t="s">
        <v>17</v>
      </c>
      <c r="L9" t="s">
        <v>18</v>
      </c>
      <c r="M9">
        <f>Table4[[#This Row],[Price]]/Table4[[#This Row],[Size (sqm)]]</f>
        <v>14224.665289256198</v>
      </c>
    </row>
    <row r="10" spans="1:13" x14ac:dyDescent="0.25">
      <c r="A10">
        <v>9</v>
      </c>
      <c r="B10" t="s">
        <v>19</v>
      </c>
      <c r="C10" t="s">
        <v>20</v>
      </c>
      <c r="D10" t="s">
        <v>14</v>
      </c>
      <c r="E10">
        <v>94</v>
      </c>
      <c r="F10">
        <v>1202656</v>
      </c>
      <c r="G10">
        <v>3</v>
      </c>
      <c r="H10">
        <v>4</v>
      </c>
      <c r="I10" t="s">
        <v>38</v>
      </c>
      <c r="J10" t="s">
        <v>22</v>
      </c>
      <c r="K10" t="s">
        <v>27</v>
      </c>
      <c r="L10" t="s">
        <v>18</v>
      </c>
      <c r="M10">
        <f>Table4[[#This Row],[Price]]/Table4[[#This Row],[Size (sqm)]]</f>
        <v>12794.212765957447</v>
      </c>
    </row>
    <row r="11" spans="1:13" x14ac:dyDescent="0.25">
      <c r="A11">
        <v>10</v>
      </c>
      <c r="B11" t="s">
        <v>12</v>
      </c>
      <c r="C11" t="s">
        <v>39</v>
      </c>
      <c r="D11" t="s">
        <v>25</v>
      </c>
      <c r="E11">
        <v>491</v>
      </c>
      <c r="F11">
        <v>6712895</v>
      </c>
      <c r="G11">
        <v>5</v>
      </c>
      <c r="H11">
        <v>2</v>
      </c>
      <c r="I11" t="s">
        <v>40</v>
      </c>
      <c r="J11" t="s">
        <v>16</v>
      </c>
      <c r="K11" t="s">
        <v>17</v>
      </c>
      <c r="L11" t="s">
        <v>28</v>
      </c>
      <c r="M11">
        <f>Table4[[#This Row],[Price]]/Table4[[#This Row],[Size (sqm)]]</f>
        <v>13671.883910386965</v>
      </c>
    </row>
    <row r="12" spans="1:13" x14ac:dyDescent="0.25">
      <c r="A12">
        <v>11</v>
      </c>
      <c r="B12" t="s">
        <v>23</v>
      </c>
      <c r="C12" t="s">
        <v>41</v>
      </c>
      <c r="D12" t="s">
        <v>29</v>
      </c>
      <c r="E12">
        <v>185</v>
      </c>
      <c r="F12">
        <v>3741388</v>
      </c>
      <c r="G12">
        <v>0</v>
      </c>
      <c r="H12">
        <v>1</v>
      </c>
      <c r="I12" t="s">
        <v>42</v>
      </c>
      <c r="J12" t="s">
        <v>16</v>
      </c>
      <c r="K12" t="s">
        <v>17</v>
      </c>
      <c r="L12" t="s">
        <v>18</v>
      </c>
      <c r="M12">
        <f>Table4[[#This Row],[Price]]/Table4[[#This Row],[Size (sqm)]]</f>
        <v>20223.718918918919</v>
      </c>
    </row>
    <row r="13" spans="1:13" x14ac:dyDescent="0.25">
      <c r="A13">
        <v>12</v>
      </c>
      <c r="B13" t="s">
        <v>19</v>
      </c>
      <c r="C13" t="s">
        <v>20</v>
      </c>
      <c r="D13" t="s">
        <v>25</v>
      </c>
      <c r="E13">
        <v>219</v>
      </c>
      <c r="F13">
        <v>2626001</v>
      </c>
      <c r="G13">
        <v>6</v>
      </c>
      <c r="H13">
        <v>4</v>
      </c>
      <c r="I13" t="s">
        <v>43</v>
      </c>
      <c r="J13" t="s">
        <v>22</v>
      </c>
      <c r="K13" t="s">
        <v>17</v>
      </c>
      <c r="L13" t="s">
        <v>28</v>
      </c>
      <c r="M13">
        <f>Table4[[#This Row],[Price]]/Table4[[#This Row],[Size (sqm)]]</f>
        <v>11990.872146118722</v>
      </c>
    </row>
    <row r="14" spans="1:13" x14ac:dyDescent="0.25">
      <c r="A14">
        <v>13</v>
      </c>
      <c r="B14" t="s">
        <v>23</v>
      </c>
      <c r="C14" t="s">
        <v>31</v>
      </c>
      <c r="D14" t="s">
        <v>14</v>
      </c>
      <c r="E14">
        <v>75</v>
      </c>
      <c r="F14">
        <v>815956</v>
      </c>
      <c r="G14">
        <v>3</v>
      </c>
      <c r="H14">
        <v>2</v>
      </c>
      <c r="I14" t="s">
        <v>44</v>
      </c>
      <c r="J14" t="s">
        <v>22</v>
      </c>
      <c r="K14" t="s">
        <v>27</v>
      </c>
      <c r="L14" t="s">
        <v>18</v>
      </c>
      <c r="M14">
        <f>Table4[[#This Row],[Price]]/Table4[[#This Row],[Size (sqm)]]</f>
        <v>10879.413333333334</v>
      </c>
    </row>
    <row r="15" spans="1:13" x14ac:dyDescent="0.25">
      <c r="A15">
        <v>14</v>
      </c>
      <c r="B15" t="s">
        <v>23</v>
      </c>
      <c r="C15" t="s">
        <v>45</v>
      </c>
      <c r="D15" t="s">
        <v>25</v>
      </c>
      <c r="E15">
        <v>244</v>
      </c>
      <c r="F15">
        <v>2350356</v>
      </c>
      <c r="G15">
        <v>4</v>
      </c>
      <c r="H15">
        <v>4</v>
      </c>
      <c r="I15" t="s">
        <v>46</v>
      </c>
      <c r="J15" t="s">
        <v>16</v>
      </c>
      <c r="K15" t="s">
        <v>33</v>
      </c>
      <c r="L15" t="s">
        <v>28</v>
      </c>
      <c r="M15">
        <f>Table4[[#This Row],[Price]]/Table4[[#This Row],[Size (sqm)]]</f>
        <v>9632.6065573770484</v>
      </c>
    </row>
    <row r="16" spans="1:13" x14ac:dyDescent="0.25">
      <c r="A16">
        <v>15</v>
      </c>
      <c r="B16" t="s">
        <v>19</v>
      </c>
      <c r="C16" t="s">
        <v>47</v>
      </c>
      <c r="D16" t="s">
        <v>14</v>
      </c>
      <c r="E16">
        <v>160</v>
      </c>
      <c r="F16">
        <v>1212574</v>
      </c>
      <c r="G16">
        <v>2</v>
      </c>
      <c r="H16">
        <v>1</v>
      </c>
      <c r="I16" t="s">
        <v>48</v>
      </c>
      <c r="J16" t="s">
        <v>22</v>
      </c>
      <c r="K16" t="s">
        <v>33</v>
      </c>
      <c r="L16" t="s">
        <v>18</v>
      </c>
      <c r="M16">
        <f>Table4[[#This Row],[Price]]/Table4[[#This Row],[Size (sqm)]]</f>
        <v>7578.5874999999996</v>
      </c>
    </row>
    <row r="17" spans="1:13" x14ac:dyDescent="0.25">
      <c r="A17">
        <v>16</v>
      </c>
      <c r="B17" t="s">
        <v>23</v>
      </c>
      <c r="C17" t="s">
        <v>45</v>
      </c>
      <c r="D17" t="s">
        <v>29</v>
      </c>
      <c r="E17">
        <v>82</v>
      </c>
      <c r="F17">
        <v>916359</v>
      </c>
      <c r="G17">
        <v>0</v>
      </c>
      <c r="H17">
        <v>2</v>
      </c>
      <c r="I17" t="s">
        <v>49</v>
      </c>
      <c r="J17" t="s">
        <v>22</v>
      </c>
      <c r="K17" t="s">
        <v>33</v>
      </c>
      <c r="L17" t="s">
        <v>18</v>
      </c>
      <c r="M17">
        <f>Table4[[#This Row],[Price]]/Table4[[#This Row],[Size (sqm)]]</f>
        <v>11175.109756097561</v>
      </c>
    </row>
    <row r="18" spans="1:13" x14ac:dyDescent="0.25">
      <c r="A18">
        <v>17</v>
      </c>
      <c r="B18" t="s">
        <v>12</v>
      </c>
      <c r="C18" t="s">
        <v>39</v>
      </c>
      <c r="D18" t="s">
        <v>29</v>
      </c>
      <c r="E18">
        <v>158</v>
      </c>
      <c r="F18">
        <v>1529432</v>
      </c>
      <c r="G18">
        <v>0</v>
      </c>
      <c r="H18">
        <v>4</v>
      </c>
      <c r="I18" t="s">
        <v>50</v>
      </c>
      <c r="J18" t="s">
        <v>16</v>
      </c>
      <c r="K18" t="s">
        <v>33</v>
      </c>
      <c r="L18" t="s">
        <v>28</v>
      </c>
      <c r="M18">
        <f>Table4[[#This Row],[Price]]/Table4[[#This Row],[Size (sqm)]]</f>
        <v>9679.9493670886077</v>
      </c>
    </row>
    <row r="19" spans="1:13" x14ac:dyDescent="0.25">
      <c r="A19">
        <v>18</v>
      </c>
      <c r="B19" t="s">
        <v>12</v>
      </c>
      <c r="C19" t="s">
        <v>36</v>
      </c>
      <c r="D19" t="s">
        <v>29</v>
      </c>
      <c r="E19">
        <v>93</v>
      </c>
      <c r="F19">
        <v>1315234</v>
      </c>
      <c r="G19">
        <v>0</v>
      </c>
      <c r="H19">
        <v>3</v>
      </c>
      <c r="I19" t="s">
        <v>51</v>
      </c>
      <c r="J19" t="s">
        <v>22</v>
      </c>
      <c r="K19" t="s">
        <v>17</v>
      </c>
      <c r="L19" t="s">
        <v>18</v>
      </c>
      <c r="M19">
        <f>Table4[[#This Row],[Price]]/Table4[[#This Row],[Size (sqm)]]</f>
        <v>14142.301075268817</v>
      </c>
    </row>
    <row r="20" spans="1:13" x14ac:dyDescent="0.25">
      <c r="A20">
        <v>19</v>
      </c>
      <c r="B20" t="s">
        <v>23</v>
      </c>
      <c r="C20" t="s">
        <v>24</v>
      </c>
      <c r="D20" t="s">
        <v>25</v>
      </c>
      <c r="E20">
        <v>387</v>
      </c>
      <c r="F20">
        <v>5419964</v>
      </c>
      <c r="G20">
        <v>4</v>
      </c>
      <c r="H20">
        <v>4</v>
      </c>
      <c r="I20" t="s">
        <v>52</v>
      </c>
      <c r="J20" t="s">
        <v>22</v>
      </c>
      <c r="K20" t="s">
        <v>33</v>
      </c>
      <c r="L20" t="s">
        <v>28</v>
      </c>
      <c r="M20">
        <f>Table4[[#This Row],[Price]]/Table4[[#This Row],[Size (sqm)]]</f>
        <v>14005.074935400517</v>
      </c>
    </row>
    <row r="21" spans="1:13" x14ac:dyDescent="0.25">
      <c r="A21">
        <v>20</v>
      </c>
      <c r="B21" t="s">
        <v>19</v>
      </c>
      <c r="C21" t="s">
        <v>20</v>
      </c>
      <c r="D21" t="s">
        <v>25</v>
      </c>
      <c r="E21">
        <v>402</v>
      </c>
      <c r="F21">
        <v>3128139</v>
      </c>
      <c r="G21">
        <v>6</v>
      </c>
      <c r="H21">
        <v>3</v>
      </c>
      <c r="I21" t="s">
        <v>53</v>
      </c>
      <c r="J21" t="s">
        <v>22</v>
      </c>
      <c r="K21" t="s">
        <v>33</v>
      </c>
      <c r="L21" t="s">
        <v>28</v>
      </c>
      <c r="M21">
        <f>Table4[[#This Row],[Price]]/Table4[[#This Row],[Size (sqm)]]</f>
        <v>7781.440298507463</v>
      </c>
    </row>
    <row r="22" spans="1:13" x14ac:dyDescent="0.25">
      <c r="A22">
        <v>21</v>
      </c>
      <c r="B22" t="s">
        <v>19</v>
      </c>
      <c r="C22" t="s">
        <v>54</v>
      </c>
      <c r="D22" t="s">
        <v>25</v>
      </c>
      <c r="E22">
        <v>304</v>
      </c>
      <c r="F22">
        <v>2653839</v>
      </c>
      <c r="G22">
        <v>5</v>
      </c>
      <c r="H22">
        <v>3</v>
      </c>
      <c r="I22" t="s">
        <v>55</v>
      </c>
      <c r="J22" t="s">
        <v>22</v>
      </c>
      <c r="K22" t="s">
        <v>27</v>
      </c>
      <c r="L22" t="s">
        <v>18</v>
      </c>
      <c r="M22">
        <f>Table4[[#This Row],[Price]]/Table4[[#This Row],[Size (sqm)]]</f>
        <v>8729.7335526315783</v>
      </c>
    </row>
    <row r="23" spans="1:13" x14ac:dyDescent="0.25">
      <c r="A23">
        <v>22</v>
      </c>
      <c r="B23" t="s">
        <v>23</v>
      </c>
      <c r="C23" t="s">
        <v>31</v>
      </c>
      <c r="D23" t="s">
        <v>29</v>
      </c>
      <c r="E23">
        <v>179</v>
      </c>
      <c r="F23">
        <v>2206743</v>
      </c>
      <c r="G23">
        <v>0</v>
      </c>
      <c r="H23">
        <v>1</v>
      </c>
      <c r="I23" t="s">
        <v>56</v>
      </c>
      <c r="J23" t="s">
        <v>16</v>
      </c>
      <c r="K23" t="s">
        <v>27</v>
      </c>
      <c r="L23" t="s">
        <v>28</v>
      </c>
      <c r="M23">
        <f>Table4[[#This Row],[Price]]/Table4[[#This Row],[Size (sqm)]]</f>
        <v>12328.173184357542</v>
      </c>
    </row>
    <row r="24" spans="1:13" x14ac:dyDescent="0.25">
      <c r="A24">
        <v>23</v>
      </c>
      <c r="B24" t="s">
        <v>23</v>
      </c>
      <c r="C24" t="s">
        <v>31</v>
      </c>
      <c r="D24" t="s">
        <v>25</v>
      </c>
      <c r="E24">
        <v>443</v>
      </c>
      <c r="F24">
        <v>8255649</v>
      </c>
      <c r="G24">
        <v>4</v>
      </c>
      <c r="H24">
        <v>3</v>
      </c>
      <c r="I24" t="s">
        <v>57</v>
      </c>
      <c r="J24" t="s">
        <v>16</v>
      </c>
      <c r="K24" t="s">
        <v>17</v>
      </c>
      <c r="L24" t="s">
        <v>18</v>
      </c>
      <c r="M24">
        <f>Table4[[#This Row],[Price]]/Table4[[#This Row],[Size (sqm)]]</f>
        <v>18635.776523702032</v>
      </c>
    </row>
    <row r="25" spans="1:13" x14ac:dyDescent="0.25">
      <c r="A25">
        <v>24</v>
      </c>
      <c r="B25" t="s">
        <v>12</v>
      </c>
      <c r="C25" t="s">
        <v>13</v>
      </c>
      <c r="D25" t="s">
        <v>14</v>
      </c>
      <c r="E25">
        <v>122</v>
      </c>
      <c r="F25">
        <v>1661310</v>
      </c>
      <c r="G25">
        <v>4</v>
      </c>
      <c r="H25">
        <v>3</v>
      </c>
      <c r="I25" t="s">
        <v>58</v>
      </c>
      <c r="J25" t="s">
        <v>22</v>
      </c>
      <c r="K25" t="s">
        <v>33</v>
      </c>
      <c r="L25" t="s">
        <v>18</v>
      </c>
      <c r="M25">
        <f>Table4[[#This Row],[Price]]/Table4[[#This Row],[Size (sqm)]]</f>
        <v>13617.295081967213</v>
      </c>
    </row>
    <row r="26" spans="1:13" x14ac:dyDescent="0.25">
      <c r="A26">
        <v>25</v>
      </c>
      <c r="B26" t="s">
        <v>12</v>
      </c>
      <c r="C26" t="s">
        <v>13</v>
      </c>
      <c r="D26" t="s">
        <v>25</v>
      </c>
      <c r="E26">
        <v>339</v>
      </c>
      <c r="F26">
        <v>3540186</v>
      </c>
      <c r="G26">
        <v>3</v>
      </c>
      <c r="H26">
        <v>1</v>
      </c>
      <c r="I26" t="s">
        <v>59</v>
      </c>
      <c r="J26" t="s">
        <v>16</v>
      </c>
      <c r="K26" t="s">
        <v>33</v>
      </c>
      <c r="L26" t="s">
        <v>28</v>
      </c>
      <c r="M26">
        <f>Table4[[#This Row],[Price]]/Table4[[#This Row],[Size (sqm)]]</f>
        <v>10443.026548672566</v>
      </c>
    </row>
    <row r="27" spans="1:13" x14ac:dyDescent="0.25">
      <c r="A27">
        <v>26</v>
      </c>
      <c r="B27" t="s">
        <v>19</v>
      </c>
      <c r="C27" t="s">
        <v>20</v>
      </c>
      <c r="D27" t="s">
        <v>29</v>
      </c>
      <c r="E27">
        <v>212</v>
      </c>
      <c r="F27">
        <v>1952860</v>
      </c>
      <c r="G27">
        <v>0</v>
      </c>
      <c r="H27">
        <v>1</v>
      </c>
      <c r="I27" t="s">
        <v>60</v>
      </c>
      <c r="J27" t="s">
        <v>22</v>
      </c>
      <c r="K27" t="s">
        <v>17</v>
      </c>
      <c r="L27" t="s">
        <v>28</v>
      </c>
      <c r="M27">
        <f>Table4[[#This Row],[Price]]/Table4[[#This Row],[Size (sqm)]]</f>
        <v>9211.6037735849059</v>
      </c>
    </row>
    <row r="28" spans="1:13" x14ac:dyDescent="0.25">
      <c r="A28">
        <v>27</v>
      </c>
      <c r="B28" t="s">
        <v>12</v>
      </c>
      <c r="C28" t="s">
        <v>36</v>
      </c>
      <c r="D28" t="s">
        <v>25</v>
      </c>
      <c r="E28">
        <v>471</v>
      </c>
      <c r="F28">
        <v>5871784</v>
      </c>
      <c r="G28">
        <v>3</v>
      </c>
      <c r="H28">
        <v>1</v>
      </c>
      <c r="I28" t="s">
        <v>61</v>
      </c>
      <c r="J28" t="s">
        <v>16</v>
      </c>
      <c r="K28" t="s">
        <v>17</v>
      </c>
      <c r="L28" t="s">
        <v>18</v>
      </c>
      <c r="M28">
        <f>Table4[[#This Row],[Price]]/Table4[[#This Row],[Size (sqm)]]</f>
        <v>12466.632696390658</v>
      </c>
    </row>
    <row r="29" spans="1:13" x14ac:dyDescent="0.25">
      <c r="A29">
        <v>28</v>
      </c>
      <c r="B29" t="s">
        <v>23</v>
      </c>
      <c r="C29" t="s">
        <v>31</v>
      </c>
      <c r="D29" t="s">
        <v>25</v>
      </c>
      <c r="E29">
        <v>334</v>
      </c>
      <c r="F29">
        <v>3197553</v>
      </c>
      <c r="G29">
        <v>4</v>
      </c>
      <c r="H29">
        <v>3</v>
      </c>
      <c r="I29" t="s">
        <v>62</v>
      </c>
      <c r="J29" t="s">
        <v>16</v>
      </c>
      <c r="K29" t="s">
        <v>33</v>
      </c>
      <c r="L29" t="s">
        <v>28</v>
      </c>
      <c r="M29">
        <f>Table4[[#This Row],[Price]]/Table4[[#This Row],[Size (sqm)]]</f>
        <v>9573.5119760479047</v>
      </c>
    </row>
    <row r="30" spans="1:13" x14ac:dyDescent="0.25">
      <c r="A30">
        <v>29</v>
      </c>
      <c r="B30" t="s">
        <v>12</v>
      </c>
      <c r="C30" t="s">
        <v>36</v>
      </c>
      <c r="D30" t="s">
        <v>25</v>
      </c>
      <c r="E30">
        <v>224</v>
      </c>
      <c r="F30">
        <v>2054576</v>
      </c>
      <c r="G30">
        <v>6</v>
      </c>
      <c r="H30">
        <v>1</v>
      </c>
      <c r="I30" t="s">
        <v>63</v>
      </c>
      <c r="J30" t="s">
        <v>22</v>
      </c>
      <c r="K30" t="s">
        <v>33</v>
      </c>
      <c r="L30" t="s">
        <v>28</v>
      </c>
      <c r="M30">
        <f>Table4[[#This Row],[Price]]/Table4[[#This Row],[Size (sqm)]]</f>
        <v>9172.2142857142862</v>
      </c>
    </row>
    <row r="31" spans="1:13" x14ac:dyDescent="0.25">
      <c r="A31">
        <v>30</v>
      </c>
      <c r="B31" t="s">
        <v>23</v>
      </c>
      <c r="C31" t="s">
        <v>41</v>
      </c>
      <c r="D31" t="s">
        <v>29</v>
      </c>
      <c r="E31">
        <v>238</v>
      </c>
      <c r="F31">
        <v>3446911</v>
      </c>
      <c r="G31">
        <v>0</v>
      </c>
      <c r="H31">
        <v>2</v>
      </c>
      <c r="I31" t="s">
        <v>64</v>
      </c>
      <c r="J31" t="s">
        <v>22</v>
      </c>
      <c r="K31" t="s">
        <v>33</v>
      </c>
      <c r="L31" t="s">
        <v>28</v>
      </c>
      <c r="M31">
        <f>Table4[[#This Row],[Price]]/Table4[[#This Row],[Size (sqm)]]</f>
        <v>14482.819327731093</v>
      </c>
    </row>
    <row r="32" spans="1:13" x14ac:dyDescent="0.25">
      <c r="A32">
        <v>31</v>
      </c>
      <c r="B32" t="s">
        <v>19</v>
      </c>
      <c r="C32" t="s">
        <v>54</v>
      </c>
      <c r="D32" t="s">
        <v>14</v>
      </c>
      <c r="E32">
        <v>114</v>
      </c>
      <c r="F32">
        <v>1407478</v>
      </c>
      <c r="G32">
        <v>3</v>
      </c>
      <c r="H32">
        <v>1</v>
      </c>
      <c r="I32" t="s">
        <v>65</v>
      </c>
      <c r="J32" t="s">
        <v>22</v>
      </c>
      <c r="K32" t="s">
        <v>33</v>
      </c>
      <c r="L32" t="s">
        <v>18</v>
      </c>
      <c r="M32">
        <f>Table4[[#This Row],[Price]]/Table4[[#This Row],[Size (sqm)]]</f>
        <v>12346.298245614034</v>
      </c>
    </row>
    <row r="33" spans="1:13" x14ac:dyDescent="0.25">
      <c r="A33">
        <v>32</v>
      </c>
      <c r="B33" t="s">
        <v>23</v>
      </c>
      <c r="C33" t="s">
        <v>24</v>
      </c>
      <c r="D33" t="s">
        <v>29</v>
      </c>
      <c r="E33">
        <v>94</v>
      </c>
      <c r="F33">
        <v>1246996</v>
      </c>
      <c r="G33">
        <v>0</v>
      </c>
      <c r="H33">
        <v>4</v>
      </c>
      <c r="I33" t="s">
        <v>66</v>
      </c>
      <c r="J33" t="s">
        <v>16</v>
      </c>
      <c r="K33" t="s">
        <v>17</v>
      </c>
      <c r="L33" t="s">
        <v>28</v>
      </c>
      <c r="M33">
        <f>Table4[[#This Row],[Price]]/Table4[[#This Row],[Size (sqm)]]</f>
        <v>13265.91489361702</v>
      </c>
    </row>
    <row r="34" spans="1:13" x14ac:dyDescent="0.25">
      <c r="A34">
        <v>33</v>
      </c>
      <c r="B34" t="s">
        <v>12</v>
      </c>
      <c r="C34" t="s">
        <v>39</v>
      </c>
      <c r="D34" t="s">
        <v>14</v>
      </c>
      <c r="E34">
        <v>71</v>
      </c>
      <c r="F34">
        <v>1038339</v>
      </c>
      <c r="G34">
        <v>4</v>
      </c>
      <c r="H34">
        <v>2</v>
      </c>
      <c r="I34" t="s">
        <v>67</v>
      </c>
      <c r="J34" t="s">
        <v>22</v>
      </c>
      <c r="K34" t="s">
        <v>17</v>
      </c>
      <c r="L34" t="s">
        <v>28</v>
      </c>
      <c r="M34">
        <f>Table4[[#This Row],[Price]]/Table4[[#This Row],[Size (sqm)]]</f>
        <v>14624.492957746479</v>
      </c>
    </row>
    <row r="35" spans="1:13" x14ac:dyDescent="0.25">
      <c r="A35">
        <v>34</v>
      </c>
      <c r="B35" t="s">
        <v>23</v>
      </c>
      <c r="C35" t="s">
        <v>41</v>
      </c>
      <c r="D35" t="s">
        <v>29</v>
      </c>
      <c r="E35">
        <v>80</v>
      </c>
      <c r="F35">
        <v>1128713</v>
      </c>
      <c r="G35">
        <v>0</v>
      </c>
      <c r="H35">
        <v>3</v>
      </c>
      <c r="I35" t="s">
        <v>53</v>
      </c>
      <c r="J35" t="s">
        <v>16</v>
      </c>
      <c r="K35" t="s">
        <v>27</v>
      </c>
      <c r="L35" t="s">
        <v>18</v>
      </c>
      <c r="M35">
        <f>Table4[[#This Row],[Price]]/Table4[[#This Row],[Size (sqm)]]</f>
        <v>14108.9125</v>
      </c>
    </row>
    <row r="36" spans="1:13" x14ac:dyDescent="0.25">
      <c r="A36">
        <v>35</v>
      </c>
      <c r="B36" t="s">
        <v>23</v>
      </c>
      <c r="C36" t="s">
        <v>24</v>
      </c>
      <c r="D36" t="s">
        <v>14</v>
      </c>
      <c r="E36">
        <v>84</v>
      </c>
      <c r="F36">
        <v>1320524</v>
      </c>
      <c r="G36">
        <v>2</v>
      </c>
      <c r="H36">
        <v>1</v>
      </c>
      <c r="I36" t="s">
        <v>56</v>
      </c>
      <c r="J36" t="s">
        <v>16</v>
      </c>
      <c r="K36" t="s">
        <v>27</v>
      </c>
      <c r="L36" t="s">
        <v>18</v>
      </c>
      <c r="M36">
        <f>Table4[[#This Row],[Price]]/Table4[[#This Row],[Size (sqm)]]</f>
        <v>15720.523809523809</v>
      </c>
    </row>
    <row r="37" spans="1:13" x14ac:dyDescent="0.25">
      <c r="A37">
        <v>36</v>
      </c>
      <c r="B37" t="s">
        <v>19</v>
      </c>
      <c r="C37" t="s">
        <v>54</v>
      </c>
      <c r="D37" t="s">
        <v>14</v>
      </c>
      <c r="E37">
        <v>122</v>
      </c>
      <c r="F37">
        <v>1143698</v>
      </c>
      <c r="G37">
        <v>2</v>
      </c>
      <c r="H37">
        <v>1</v>
      </c>
      <c r="I37" t="s">
        <v>68</v>
      </c>
      <c r="J37" t="s">
        <v>16</v>
      </c>
      <c r="K37" t="s">
        <v>17</v>
      </c>
      <c r="L37" t="s">
        <v>28</v>
      </c>
      <c r="M37">
        <f>Table4[[#This Row],[Price]]/Table4[[#This Row],[Size (sqm)]]</f>
        <v>9374.5737704918029</v>
      </c>
    </row>
    <row r="38" spans="1:13" x14ac:dyDescent="0.25">
      <c r="A38">
        <v>37</v>
      </c>
      <c r="B38" t="s">
        <v>23</v>
      </c>
      <c r="C38" t="s">
        <v>31</v>
      </c>
      <c r="D38" t="s">
        <v>25</v>
      </c>
      <c r="E38">
        <v>474</v>
      </c>
      <c r="F38">
        <v>7725985</v>
      </c>
      <c r="G38">
        <v>4</v>
      </c>
      <c r="H38">
        <v>3</v>
      </c>
      <c r="I38" t="s">
        <v>69</v>
      </c>
      <c r="J38" t="s">
        <v>22</v>
      </c>
      <c r="K38" t="s">
        <v>27</v>
      </c>
      <c r="L38" t="s">
        <v>28</v>
      </c>
      <c r="M38">
        <f>Table4[[#This Row],[Price]]/Table4[[#This Row],[Size (sqm)]]</f>
        <v>16299.54641350211</v>
      </c>
    </row>
    <row r="39" spans="1:13" x14ac:dyDescent="0.25">
      <c r="A39">
        <v>38</v>
      </c>
      <c r="B39" t="s">
        <v>12</v>
      </c>
      <c r="C39" t="s">
        <v>39</v>
      </c>
      <c r="D39" t="s">
        <v>14</v>
      </c>
      <c r="E39">
        <v>102</v>
      </c>
      <c r="F39">
        <v>1276047</v>
      </c>
      <c r="G39">
        <v>3</v>
      </c>
      <c r="H39">
        <v>3</v>
      </c>
      <c r="I39" t="s">
        <v>70</v>
      </c>
      <c r="J39" t="s">
        <v>22</v>
      </c>
      <c r="K39" t="s">
        <v>27</v>
      </c>
      <c r="L39" t="s">
        <v>28</v>
      </c>
      <c r="M39">
        <f>Table4[[#This Row],[Price]]/Table4[[#This Row],[Size (sqm)]]</f>
        <v>12510.264705882353</v>
      </c>
    </row>
    <row r="40" spans="1:13" x14ac:dyDescent="0.25">
      <c r="A40">
        <v>39</v>
      </c>
      <c r="B40" t="s">
        <v>19</v>
      </c>
      <c r="C40" t="s">
        <v>20</v>
      </c>
      <c r="D40" t="s">
        <v>25</v>
      </c>
      <c r="E40">
        <v>479</v>
      </c>
      <c r="F40">
        <v>3570743</v>
      </c>
      <c r="G40">
        <v>3</v>
      </c>
      <c r="H40">
        <v>3</v>
      </c>
      <c r="I40" t="s">
        <v>71</v>
      </c>
      <c r="J40" t="s">
        <v>16</v>
      </c>
      <c r="K40" t="s">
        <v>27</v>
      </c>
      <c r="L40" t="s">
        <v>28</v>
      </c>
      <c r="M40">
        <f>Table4[[#This Row],[Price]]/Table4[[#This Row],[Size (sqm)]]</f>
        <v>7454.5782881002087</v>
      </c>
    </row>
    <row r="41" spans="1:13" x14ac:dyDescent="0.25">
      <c r="A41">
        <v>40</v>
      </c>
      <c r="B41" t="s">
        <v>19</v>
      </c>
      <c r="C41" t="s">
        <v>54</v>
      </c>
      <c r="D41" t="s">
        <v>14</v>
      </c>
      <c r="E41">
        <v>168</v>
      </c>
      <c r="F41">
        <v>1627144</v>
      </c>
      <c r="G41">
        <v>4</v>
      </c>
      <c r="H41">
        <v>2</v>
      </c>
      <c r="I41" t="s">
        <v>72</v>
      </c>
      <c r="J41" t="s">
        <v>16</v>
      </c>
      <c r="K41" t="s">
        <v>33</v>
      </c>
      <c r="L41" t="s">
        <v>18</v>
      </c>
      <c r="M41">
        <f>Table4[[#This Row],[Price]]/Table4[[#This Row],[Size (sqm)]]</f>
        <v>9685.3809523809523</v>
      </c>
    </row>
    <row r="42" spans="1:13" x14ac:dyDescent="0.25">
      <c r="A42">
        <v>41</v>
      </c>
      <c r="B42" t="s">
        <v>23</v>
      </c>
      <c r="C42" t="s">
        <v>45</v>
      </c>
      <c r="D42" t="s">
        <v>25</v>
      </c>
      <c r="E42">
        <v>461</v>
      </c>
      <c r="F42">
        <v>6839298</v>
      </c>
      <c r="G42">
        <v>6</v>
      </c>
      <c r="H42">
        <v>4</v>
      </c>
      <c r="I42" t="s">
        <v>73</v>
      </c>
      <c r="J42" t="s">
        <v>16</v>
      </c>
      <c r="K42" t="s">
        <v>17</v>
      </c>
      <c r="L42" t="s">
        <v>18</v>
      </c>
      <c r="M42">
        <f>Table4[[#This Row],[Price]]/Table4[[#This Row],[Size (sqm)]]</f>
        <v>14835.787418655098</v>
      </c>
    </row>
    <row r="43" spans="1:13" x14ac:dyDescent="0.25">
      <c r="A43">
        <v>42</v>
      </c>
      <c r="B43" t="s">
        <v>12</v>
      </c>
      <c r="C43" t="s">
        <v>36</v>
      </c>
      <c r="D43" t="s">
        <v>29</v>
      </c>
      <c r="E43">
        <v>137</v>
      </c>
      <c r="F43">
        <v>1763949</v>
      </c>
      <c r="G43">
        <v>0</v>
      </c>
      <c r="H43">
        <v>3</v>
      </c>
      <c r="I43" t="s">
        <v>74</v>
      </c>
      <c r="J43" t="s">
        <v>22</v>
      </c>
      <c r="K43" t="s">
        <v>33</v>
      </c>
      <c r="L43" t="s">
        <v>28</v>
      </c>
      <c r="M43">
        <f>Table4[[#This Row],[Price]]/Table4[[#This Row],[Size (sqm)]]</f>
        <v>12875.540145985402</v>
      </c>
    </row>
    <row r="44" spans="1:13" x14ac:dyDescent="0.25">
      <c r="A44">
        <v>43</v>
      </c>
      <c r="B44" t="s">
        <v>12</v>
      </c>
      <c r="C44" t="s">
        <v>36</v>
      </c>
      <c r="D44" t="s">
        <v>25</v>
      </c>
      <c r="E44">
        <v>308</v>
      </c>
      <c r="F44">
        <v>2455994</v>
      </c>
      <c r="G44">
        <v>3</v>
      </c>
      <c r="H44">
        <v>1</v>
      </c>
      <c r="I44" t="s">
        <v>75</v>
      </c>
      <c r="J44" t="s">
        <v>16</v>
      </c>
      <c r="K44" t="s">
        <v>33</v>
      </c>
      <c r="L44" t="s">
        <v>28</v>
      </c>
      <c r="M44">
        <f>Table4[[#This Row],[Price]]/Table4[[#This Row],[Size (sqm)]]</f>
        <v>7974.0064935064938</v>
      </c>
    </row>
    <row r="45" spans="1:13" x14ac:dyDescent="0.25">
      <c r="A45">
        <v>44</v>
      </c>
      <c r="B45" t="s">
        <v>12</v>
      </c>
      <c r="C45" t="s">
        <v>13</v>
      </c>
      <c r="D45" t="s">
        <v>14</v>
      </c>
      <c r="E45">
        <v>176</v>
      </c>
      <c r="F45">
        <v>1517845</v>
      </c>
      <c r="G45">
        <v>4</v>
      </c>
      <c r="H45">
        <v>4</v>
      </c>
      <c r="I45" t="s">
        <v>76</v>
      </c>
      <c r="J45" t="s">
        <v>16</v>
      </c>
      <c r="K45" t="s">
        <v>33</v>
      </c>
      <c r="L45" t="s">
        <v>28</v>
      </c>
      <c r="M45">
        <f>Table4[[#This Row],[Price]]/Table4[[#This Row],[Size (sqm)]]</f>
        <v>8624.119318181818</v>
      </c>
    </row>
    <row r="46" spans="1:13" x14ac:dyDescent="0.25">
      <c r="A46">
        <v>45</v>
      </c>
      <c r="B46" t="s">
        <v>19</v>
      </c>
      <c r="C46" t="s">
        <v>20</v>
      </c>
      <c r="D46" t="s">
        <v>29</v>
      </c>
      <c r="E46">
        <v>192</v>
      </c>
      <c r="F46">
        <v>2317615</v>
      </c>
      <c r="G46">
        <v>0</v>
      </c>
      <c r="H46">
        <v>3</v>
      </c>
      <c r="I46" t="s">
        <v>77</v>
      </c>
      <c r="J46" t="s">
        <v>22</v>
      </c>
      <c r="K46" t="s">
        <v>17</v>
      </c>
      <c r="L46" t="s">
        <v>28</v>
      </c>
      <c r="M46">
        <f>Table4[[#This Row],[Price]]/Table4[[#This Row],[Size (sqm)]]</f>
        <v>12070.911458333334</v>
      </c>
    </row>
    <row r="47" spans="1:13" x14ac:dyDescent="0.25">
      <c r="A47">
        <v>46</v>
      </c>
      <c r="B47" t="s">
        <v>23</v>
      </c>
      <c r="C47" t="s">
        <v>24</v>
      </c>
      <c r="D47" t="s">
        <v>29</v>
      </c>
      <c r="E47">
        <v>118</v>
      </c>
      <c r="F47">
        <v>1308602</v>
      </c>
      <c r="G47">
        <v>0</v>
      </c>
      <c r="H47">
        <v>1</v>
      </c>
      <c r="I47" t="s">
        <v>78</v>
      </c>
      <c r="J47" t="s">
        <v>22</v>
      </c>
      <c r="K47" t="s">
        <v>17</v>
      </c>
      <c r="L47" t="s">
        <v>18</v>
      </c>
      <c r="M47">
        <f>Table4[[#This Row],[Price]]/Table4[[#This Row],[Size (sqm)]]</f>
        <v>11089.847457627118</v>
      </c>
    </row>
    <row r="48" spans="1:13" x14ac:dyDescent="0.25">
      <c r="A48">
        <v>47</v>
      </c>
      <c r="B48" t="s">
        <v>23</v>
      </c>
      <c r="C48" t="s">
        <v>24</v>
      </c>
      <c r="D48" t="s">
        <v>14</v>
      </c>
      <c r="E48">
        <v>134</v>
      </c>
      <c r="F48">
        <v>1769080</v>
      </c>
      <c r="G48">
        <v>2</v>
      </c>
      <c r="H48">
        <v>4</v>
      </c>
      <c r="I48" t="s">
        <v>15</v>
      </c>
      <c r="J48" t="s">
        <v>16</v>
      </c>
      <c r="K48" t="s">
        <v>27</v>
      </c>
      <c r="L48" t="s">
        <v>28</v>
      </c>
      <c r="M48">
        <f>Table4[[#This Row],[Price]]/Table4[[#This Row],[Size (sqm)]]</f>
        <v>13202.089552238805</v>
      </c>
    </row>
    <row r="49" spans="1:13" x14ac:dyDescent="0.25">
      <c r="A49">
        <v>48</v>
      </c>
      <c r="B49" t="s">
        <v>12</v>
      </c>
      <c r="C49" t="s">
        <v>36</v>
      </c>
      <c r="D49" t="s">
        <v>25</v>
      </c>
      <c r="E49">
        <v>283</v>
      </c>
      <c r="F49">
        <v>2460103</v>
      </c>
      <c r="G49">
        <v>5</v>
      </c>
      <c r="H49">
        <v>4</v>
      </c>
      <c r="I49" t="s">
        <v>79</v>
      </c>
      <c r="J49" t="s">
        <v>22</v>
      </c>
      <c r="K49" t="s">
        <v>27</v>
      </c>
      <c r="L49" t="s">
        <v>28</v>
      </c>
      <c r="M49">
        <f>Table4[[#This Row],[Price]]/Table4[[#This Row],[Size (sqm)]]</f>
        <v>8692.9434628975268</v>
      </c>
    </row>
    <row r="50" spans="1:13" x14ac:dyDescent="0.25">
      <c r="A50">
        <v>49</v>
      </c>
      <c r="B50" t="s">
        <v>12</v>
      </c>
      <c r="C50" t="s">
        <v>13</v>
      </c>
      <c r="D50" t="s">
        <v>29</v>
      </c>
      <c r="E50">
        <v>243</v>
      </c>
      <c r="F50">
        <v>2366186</v>
      </c>
      <c r="G50">
        <v>0</v>
      </c>
      <c r="H50">
        <v>4</v>
      </c>
      <c r="I50" t="s">
        <v>61</v>
      </c>
      <c r="J50" t="s">
        <v>16</v>
      </c>
      <c r="K50" t="s">
        <v>27</v>
      </c>
      <c r="L50" t="s">
        <v>18</v>
      </c>
      <c r="M50">
        <f>Table4[[#This Row],[Price]]/Table4[[#This Row],[Size (sqm)]]</f>
        <v>9737.390946502057</v>
      </c>
    </row>
    <row r="51" spans="1:13" x14ac:dyDescent="0.25">
      <c r="A51">
        <v>50</v>
      </c>
      <c r="B51" t="s">
        <v>23</v>
      </c>
      <c r="C51" t="s">
        <v>31</v>
      </c>
      <c r="D51" t="s">
        <v>14</v>
      </c>
      <c r="E51">
        <v>157</v>
      </c>
      <c r="F51">
        <v>1933394</v>
      </c>
      <c r="G51">
        <v>2</v>
      </c>
      <c r="H51">
        <v>2</v>
      </c>
      <c r="I51" t="s">
        <v>80</v>
      </c>
      <c r="J51" t="s">
        <v>16</v>
      </c>
      <c r="K51" t="s">
        <v>27</v>
      </c>
      <c r="L51" t="s">
        <v>18</v>
      </c>
      <c r="M51">
        <f>Table4[[#This Row],[Price]]/Table4[[#This Row],[Size (sqm)]]</f>
        <v>12314.611464968153</v>
      </c>
    </row>
    <row r="52" spans="1:13" x14ac:dyDescent="0.25">
      <c r="A52">
        <v>51</v>
      </c>
      <c r="B52" t="s">
        <v>12</v>
      </c>
      <c r="C52" t="s">
        <v>39</v>
      </c>
      <c r="D52" t="s">
        <v>29</v>
      </c>
      <c r="E52">
        <v>86</v>
      </c>
      <c r="F52">
        <v>1079567</v>
      </c>
      <c r="G52">
        <v>0</v>
      </c>
      <c r="H52">
        <v>4</v>
      </c>
      <c r="I52" t="s">
        <v>81</v>
      </c>
      <c r="J52" t="s">
        <v>22</v>
      </c>
      <c r="K52" t="s">
        <v>17</v>
      </c>
      <c r="L52" t="s">
        <v>18</v>
      </c>
      <c r="M52">
        <f>Table4[[#This Row],[Price]]/Table4[[#This Row],[Size (sqm)]]</f>
        <v>12553.10465116279</v>
      </c>
    </row>
    <row r="53" spans="1:13" x14ac:dyDescent="0.25">
      <c r="A53">
        <v>52</v>
      </c>
      <c r="B53" t="s">
        <v>23</v>
      </c>
      <c r="C53" t="s">
        <v>31</v>
      </c>
      <c r="D53" t="s">
        <v>14</v>
      </c>
      <c r="E53">
        <v>113</v>
      </c>
      <c r="F53">
        <v>1967310</v>
      </c>
      <c r="G53">
        <v>2</v>
      </c>
      <c r="H53">
        <v>2</v>
      </c>
      <c r="I53" t="s">
        <v>37</v>
      </c>
      <c r="J53" t="s">
        <v>16</v>
      </c>
      <c r="K53" t="s">
        <v>27</v>
      </c>
      <c r="L53" t="s">
        <v>18</v>
      </c>
      <c r="M53">
        <f>Table4[[#This Row],[Price]]/Table4[[#This Row],[Size (sqm)]]</f>
        <v>17409.823008849558</v>
      </c>
    </row>
    <row r="54" spans="1:13" x14ac:dyDescent="0.25">
      <c r="A54">
        <v>53</v>
      </c>
      <c r="B54" t="s">
        <v>23</v>
      </c>
      <c r="C54" t="s">
        <v>41</v>
      </c>
      <c r="D54" t="s">
        <v>29</v>
      </c>
      <c r="E54">
        <v>140</v>
      </c>
      <c r="F54">
        <v>2418732</v>
      </c>
      <c r="G54">
        <v>0</v>
      </c>
      <c r="H54">
        <v>1</v>
      </c>
      <c r="I54" t="s">
        <v>82</v>
      </c>
      <c r="J54" t="s">
        <v>16</v>
      </c>
      <c r="K54" t="s">
        <v>27</v>
      </c>
      <c r="L54" t="s">
        <v>18</v>
      </c>
      <c r="M54">
        <f>Table4[[#This Row],[Price]]/Table4[[#This Row],[Size (sqm)]]</f>
        <v>17276.657142857144</v>
      </c>
    </row>
    <row r="55" spans="1:13" x14ac:dyDescent="0.25">
      <c r="A55">
        <v>54</v>
      </c>
      <c r="B55" t="s">
        <v>19</v>
      </c>
      <c r="C55" t="s">
        <v>47</v>
      </c>
      <c r="D55" t="s">
        <v>29</v>
      </c>
      <c r="E55">
        <v>154</v>
      </c>
      <c r="F55">
        <v>1357313</v>
      </c>
      <c r="G55">
        <v>0</v>
      </c>
      <c r="H55">
        <v>3</v>
      </c>
      <c r="I55" t="s">
        <v>83</v>
      </c>
      <c r="J55" t="s">
        <v>22</v>
      </c>
      <c r="K55" t="s">
        <v>27</v>
      </c>
      <c r="L55" t="s">
        <v>28</v>
      </c>
      <c r="M55">
        <f>Table4[[#This Row],[Price]]/Table4[[#This Row],[Size (sqm)]]</f>
        <v>8813.7207792207791</v>
      </c>
    </row>
    <row r="56" spans="1:13" x14ac:dyDescent="0.25">
      <c r="A56">
        <v>55</v>
      </c>
      <c r="B56" t="s">
        <v>23</v>
      </c>
      <c r="C56" t="s">
        <v>45</v>
      </c>
      <c r="D56" t="s">
        <v>25</v>
      </c>
      <c r="E56">
        <v>265</v>
      </c>
      <c r="F56">
        <v>4550831</v>
      </c>
      <c r="G56">
        <v>5</v>
      </c>
      <c r="H56">
        <v>4</v>
      </c>
      <c r="I56" t="s">
        <v>84</v>
      </c>
      <c r="J56" t="s">
        <v>22</v>
      </c>
      <c r="K56" t="s">
        <v>27</v>
      </c>
      <c r="L56" t="s">
        <v>18</v>
      </c>
      <c r="M56">
        <f>Table4[[#This Row],[Price]]/Table4[[#This Row],[Size (sqm)]]</f>
        <v>17172.947169811319</v>
      </c>
    </row>
    <row r="57" spans="1:13" x14ac:dyDescent="0.25">
      <c r="A57">
        <v>56</v>
      </c>
      <c r="B57" t="s">
        <v>19</v>
      </c>
      <c r="C57" t="s">
        <v>54</v>
      </c>
      <c r="D57" t="s">
        <v>29</v>
      </c>
      <c r="E57">
        <v>146</v>
      </c>
      <c r="F57">
        <v>1773384</v>
      </c>
      <c r="G57">
        <v>0</v>
      </c>
      <c r="H57">
        <v>2</v>
      </c>
      <c r="I57" t="s">
        <v>85</v>
      </c>
      <c r="J57" t="s">
        <v>16</v>
      </c>
      <c r="K57" t="s">
        <v>17</v>
      </c>
      <c r="L57" t="s">
        <v>28</v>
      </c>
      <c r="M57">
        <f>Table4[[#This Row],[Price]]/Table4[[#This Row],[Size (sqm)]]</f>
        <v>12146.465753424658</v>
      </c>
    </row>
    <row r="58" spans="1:13" x14ac:dyDescent="0.25">
      <c r="A58">
        <v>57</v>
      </c>
      <c r="B58" t="s">
        <v>19</v>
      </c>
      <c r="C58" t="s">
        <v>20</v>
      </c>
      <c r="D58" t="s">
        <v>14</v>
      </c>
      <c r="E58">
        <v>149</v>
      </c>
      <c r="F58">
        <v>1546305</v>
      </c>
      <c r="G58">
        <v>2</v>
      </c>
      <c r="H58">
        <v>2</v>
      </c>
      <c r="I58" t="s">
        <v>86</v>
      </c>
      <c r="J58" t="s">
        <v>16</v>
      </c>
      <c r="K58" t="s">
        <v>17</v>
      </c>
      <c r="L58" t="s">
        <v>28</v>
      </c>
      <c r="M58">
        <f>Table4[[#This Row],[Price]]/Table4[[#This Row],[Size (sqm)]]</f>
        <v>10377.885906040268</v>
      </c>
    </row>
    <row r="59" spans="1:13" x14ac:dyDescent="0.25">
      <c r="A59">
        <v>58</v>
      </c>
      <c r="B59" t="s">
        <v>19</v>
      </c>
      <c r="C59" t="s">
        <v>20</v>
      </c>
      <c r="D59" t="s">
        <v>29</v>
      </c>
      <c r="E59">
        <v>250</v>
      </c>
      <c r="F59">
        <v>2998945</v>
      </c>
      <c r="G59">
        <v>0</v>
      </c>
      <c r="H59">
        <v>4</v>
      </c>
      <c r="I59" t="s">
        <v>87</v>
      </c>
      <c r="J59" t="s">
        <v>16</v>
      </c>
      <c r="K59" t="s">
        <v>17</v>
      </c>
      <c r="L59" t="s">
        <v>18</v>
      </c>
      <c r="M59">
        <f>Table4[[#This Row],[Price]]/Table4[[#This Row],[Size (sqm)]]</f>
        <v>11995.78</v>
      </c>
    </row>
    <row r="60" spans="1:13" x14ac:dyDescent="0.25">
      <c r="A60">
        <v>59</v>
      </c>
      <c r="B60" t="s">
        <v>19</v>
      </c>
      <c r="C60" t="s">
        <v>20</v>
      </c>
      <c r="D60" t="s">
        <v>25</v>
      </c>
      <c r="E60">
        <v>332</v>
      </c>
      <c r="F60">
        <v>3280092</v>
      </c>
      <c r="G60">
        <v>4</v>
      </c>
      <c r="H60">
        <v>3</v>
      </c>
      <c r="I60" t="s">
        <v>88</v>
      </c>
      <c r="J60" t="s">
        <v>22</v>
      </c>
      <c r="K60" t="s">
        <v>17</v>
      </c>
      <c r="L60" t="s">
        <v>18</v>
      </c>
      <c r="M60">
        <f>Table4[[#This Row],[Price]]/Table4[[#This Row],[Size (sqm)]]</f>
        <v>9879.795180722891</v>
      </c>
    </row>
    <row r="61" spans="1:13" x14ac:dyDescent="0.25">
      <c r="A61">
        <v>60</v>
      </c>
      <c r="B61" t="s">
        <v>12</v>
      </c>
      <c r="C61" t="s">
        <v>36</v>
      </c>
      <c r="D61" t="s">
        <v>14</v>
      </c>
      <c r="E61">
        <v>131</v>
      </c>
      <c r="F61">
        <v>1751262</v>
      </c>
      <c r="G61">
        <v>2</v>
      </c>
      <c r="H61">
        <v>2</v>
      </c>
      <c r="I61" t="s">
        <v>21</v>
      </c>
      <c r="J61" t="s">
        <v>22</v>
      </c>
      <c r="K61" t="s">
        <v>27</v>
      </c>
      <c r="L61" t="s">
        <v>28</v>
      </c>
      <c r="M61">
        <f>Table4[[#This Row],[Price]]/Table4[[#This Row],[Size (sqm)]]</f>
        <v>13368.412213740457</v>
      </c>
    </row>
    <row r="62" spans="1:13" x14ac:dyDescent="0.25">
      <c r="A62">
        <v>61</v>
      </c>
      <c r="B62" t="s">
        <v>19</v>
      </c>
      <c r="C62" t="s">
        <v>47</v>
      </c>
      <c r="D62" t="s">
        <v>25</v>
      </c>
      <c r="E62">
        <v>223</v>
      </c>
      <c r="F62">
        <v>2882530</v>
      </c>
      <c r="G62">
        <v>3</v>
      </c>
      <c r="H62">
        <v>1</v>
      </c>
      <c r="I62" t="s">
        <v>89</v>
      </c>
      <c r="J62" t="s">
        <v>16</v>
      </c>
      <c r="K62" t="s">
        <v>17</v>
      </c>
      <c r="L62" t="s">
        <v>18</v>
      </c>
      <c r="M62">
        <f>Table4[[#This Row],[Price]]/Table4[[#This Row],[Size (sqm)]]</f>
        <v>12926.143497757848</v>
      </c>
    </row>
    <row r="63" spans="1:13" x14ac:dyDescent="0.25">
      <c r="A63">
        <v>62</v>
      </c>
      <c r="B63" t="s">
        <v>23</v>
      </c>
      <c r="C63" t="s">
        <v>41</v>
      </c>
      <c r="D63" t="s">
        <v>29</v>
      </c>
      <c r="E63">
        <v>220</v>
      </c>
      <c r="F63">
        <v>2745786</v>
      </c>
      <c r="G63">
        <v>0</v>
      </c>
      <c r="H63">
        <v>2</v>
      </c>
      <c r="I63" t="s">
        <v>90</v>
      </c>
      <c r="J63" t="s">
        <v>22</v>
      </c>
      <c r="K63" t="s">
        <v>27</v>
      </c>
      <c r="L63" t="s">
        <v>28</v>
      </c>
      <c r="M63">
        <f>Table4[[#This Row],[Price]]/Table4[[#This Row],[Size (sqm)]]</f>
        <v>12480.845454545455</v>
      </c>
    </row>
    <row r="64" spans="1:13" x14ac:dyDescent="0.25">
      <c r="A64">
        <v>63</v>
      </c>
      <c r="B64" t="s">
        <v>19</v>
      </c>
      <c r="C64" t="s">
        <v>47</v>
      </c>
      <c r="D64" t="s">
        <v>25</v>
      </c>
      <c r="E64">
        <v>481</v>
      </c>
      <c r="F64">
        <v>5696980</v>
      </c>
      <c r="G64">
        <v>5</v>
      </c>
      <c r="H64">
        <v>4</v>
      </c>
      <c r="I64" t="s">
        <v>91</v>
      </c>
      <c r="J64" t="s">
        <v>22</v>
      </c>
      <c r="K64" t="s">
        <v>17</v>
      </c>
      <c r="L64" t="s">
        <v>28</v>
      </c>
      <c r="M64">
        <f>Table4[[#This Row],[Price]]/Table4[[#This Row],[Size (sqm)]]</f>
        <v>11844.033264033264</v>
      </c>
    </row>
    <row r="65" spans="1:13" x14ac:dyDescent="0.25">
      <c r="A65">
        <v>64</v>
      </c>
      <c r="B65" t="s">
        <v>12</v>
      </c>
      <c r="C65" t="s">
        <v>36</v>
      </c>
      <c r="D65" t="s">
        <v>25</v>
      </c>
      <c r="E65">
        <v>250</v>
      </c>
      <c r="F65">
        <v>3058148</v>
      </c>
      <c r="G65">
        <v>6</v>
      </c>
      <c r="H65">
        <v>3</v>
      </c>
      <c r="I65" t="s">
        <v>92</v>
      </c>
      <c r="J65" t="s">
        <v>22</v>
      </c>
      <c r="K65" t="s">
        <v>33</v>
      </c>
      <c r="L65" t="s">
        <v>18</v>
      </c>
      <c r="M65">
        <f>Table4[[#This Row],[Price]]/Table4[[#This Row],[Size (sqm)]]</f>
        <v>12232.592000000001</v>
      </c>
    </row>
    <row r="66" spans="1:13" x14ac:dyDescent="0.25">
      <c r="A66">
        <v>65</v>
      </c>
      <c r="B66" t="s">
        <v>23</v>
      </c>
      <c r="C66" t="s">
        <v>31</v>
      </c>
      <c r="D66" t="s">
        <v>14</v>
      </c>
      <c r="E66">
        <v>105</v>
      </c>
      <c r="F66">
        <v>1034366</v>
      </c>
      <c r="G66">
        <v>2</v>
      </c>
      <c r="H66">
        <v>1</v>
      </c>
      <c r="I66" t="s">
        <v>55</v>
      </c>
      <c r="J66" t="s">
        <v>22</v>
      </c>
      <c r="K66" t="s">
        <v>27</v>
      </c>
      <c r="L66" t="s">
        <v>28</v>
      </c>
      <c r="M66">
        <f>Table4[[#This Row],[Price]]/Table4[[#This Row],[Size (sqm)]]</f>
        <v>9851.1047619047622</v>
      </c>
    </row>
    <row r="67" spans="1:13" x14ac:dyDescent="0.25">
      <c r="A67">
        <v>66</v>
      </c>
      <c r="B67" t="s">
        <v>23</v>
      </c>
      <c r="C67" t="s">
        <v>41</v>
      </c>
      <c r="D67" t="s">
        <v>29</v>
      </c>
      <c r="E67">
        <v>171</v>
      </c>
      <c r="F67">
        <v>2008835</v>
      </c>
      <c r="G67">
        <v>0</v>
      </c>
      <c r="H67">
        <v>4</v>
      </c>
      <c r="I67" t="s">
        <v>93</v>
      </c>
      <c r="J67" t="s">
        <v>16</v>
      </c>
      <c r="K67" t="s">
        <v>27</v>
      </c>
      <c r="L67" t="s">
        <v>18</v>
      </c>
      <c r="M67">
        <f>Table4[[#This Row],[Price]]/Table4[[#This Row],[Size (sqm)]]</f>
        <v>11747.573099415205</v>
      </c>
    </row>
    <row r="68" spans="1:13" x14ac:dyDescent="0.25">
      <c r="A68">
        <v>67</v>
      </c>
      <c r="B68" t="s">
        <v>19</v>
      </c>
      <c r="C68" t="s">
        <v>47</v>
      </c>
      <c r="D68" t="s">
        <v>29</v>
      </c>
      <c r="E68">
        <v>183</v>
      </c>
      <c r="F68">
        <v>1972105</v>
      </c>
      <c r="G68">
        <v>0</v>
      </c>
      <c r="H68">
        <v>3</v>
      </c>
      <c r="I68" t="s">
        <v>94</v>
      </c>
      <c r="J68" t="s">
        <v>16</v>
      </c>
      <c r="K68" t="s">
        <v>27</v>
      </c>
      <c r="L68" t="s">
        <v>28</v>
      </c>
      <c r="M68">
        <f>Table4[[#This Row],[Price]]/Table4[[#This Row],[Size (sqm)]]</f>
        <v>10776.530054644809</v>
      </c>
    </row>
    <row r="69" spans="1:13" x14ac:dyDescent="0.25">
      <c r="A69">
        <v>68</v>
      </c>
      <c r="B69" t="s">
        <v>23</v>
      </c>
      <c r="C69" t="s">
        <v>41</v>
      </c>
      <c r="D69" t="s">
        <v>14</v>
      </c>
      <c r="E69">
        <v>164</v>
      </c>
      <c r="F69">
        <v>2718610</v>
      </c>
      <c r="G69">
        <v>4</v>
      </c>
      <c r="H69">
        <v>4</v>
      </c>
      <c r="I69" t="s">
        <v>95</v>
      </c>
      <c r="J69" t="s">
        <v>16</v>
      </c>
      <c r="K69" t="s">
        <v>27</v>
      </c>
      <c r="L69" t="s">
        <v>18</v>
      </c>
      <c r="M69">
        <f>Table4[[#This Row],[Price]]/Table4[[#This Row],[Size (sqm)]]</f>
        <v>16576.890243902439</v>
      </c>
    </row>
    <row r="70" spans="1:13" x14ac:dyDescent="0.25">
      <c r="A70">
        <v>69</v>
      </c>
      <c r="B70" t="s">
        <v>19</v>
      </c>
      <c r="C70" t="s">
        <v>20</v>
      </c>
      <c r="D70" t="s">
        <v>25</v>
      </c>
      <c r="E70">
        <v>440</v>
      </c>
      <c r="F70">
        <v>5400254</v>
      </c>
      <c r="G70">
        <v>3</v>
      </c>
      <c r="H70">
        <v>4</v>
      </c>
      <c r="I70" t="s">
        <v>96</v>
      </c>
      <c r="J70" t="s">
        <v>16</v>
      </c>
      <c r="K70" t="s">
        <v>27</v>
      </c>
      <c r="L70" t="s">
        <v>18</v>
      </c>
      <c r="M70">
        <f>Table4[[#This Row],[Price]]/Table4[[#This Row],[Size (sqm)]]</f>
        <v>12273.304545454546</v>
      </c>
    </row>
    <row r="71" spans="1:13" x14ac:dyDescent="0.25">
      <c r="A71">
        <v>70</v>
      </c>
      <c r="B71" t="s">
        <v>23</v>
      </c>
      <c r="C71" t="s">
        <v>45</v>
      </c>
      <c r="D71" t="s">
        <v>14</v>
      </c>
      <c r="E71">
        <v>160</v>
      </c>
      <c r="F71">
        <v>2203045</v>
      </c>
      <c r="G71">
        <v>3</v>
      </c>
      <c r="H71">
        <v>4</v>
      </c>
      <c r="I71" t="s">
        <v>97</v>
      </c>
      <c r="J71" t="s">
        <v>22</v>
      </c>
      <c r="K71" t="s">
        <v>17</v>
      </c>
      <c r="L71" t="s">
        <v>28</v>
      </c>
      <c r="M71">
        <f>Table4[[#This Row],[Price]]/Table4[[#This Row],[Size (sqm)]]</f>
        <v>13769.03125</v>
      </c>
    </row>
    <row r="72" spans="1:13" x14ac:dyDescent="0.25">
      <c r="A72">
        <v>71</v>
      </c>
      <c r="B72" t="s">
        <v>12</v>
      </c>
      <c r="C72" t="s">
        <v>39</v>
      </c>
      <c r="D72" t="s">
        <v>25</v>
      </c>
      <c r="E72">
        <v>454</v>
      </c>
      <c r="F72">
        <v>5273216</v>
      </c>
      <c r="G72">
        <v>5</v>
      </c>
      <c r="H72">
        <v>4</v>
      </c>
      <c r="I72" t="s">
        <v>98</v>
      </c>
      <c r="J72" t="s">
        <v>22</v>
      </c>
      <c r="K72" t="s">
        <v>17</v>
      </c>
      <c r="L72" t="s">
        <v>28</v>
      </c>
      <c r="M72">
        <f>Table4[[#This Row],[Price]]/Table4[[#This Row],[Size (sqm)]]</f>
        <v>11615.013215859031</v>
      </c>
    </row>
    <row r="73" spans="1:13" x14ac:dyDescent="0.25">
      <c r="A73">
        <v>72</v>
      </c>
      <c r="B73" t="s">
        <v>12</v>
      </c>
      <c r="C73" t="s">
        <v>13</v>
      </c>
      <c r="D73" t="s">
        <v>29</v>
      </c>
      <c r="E73">
        <v>197</v>
      </c>
      <c r="F73">
        <v>2488063</v>
      </c>
      <c r="G73">
        <v>0</v>
      </c>
      <c r="H73">
        <v>2</v>
      </c>
      <c r="I73" t="s">
        <v>87</v>
      </c>
      <c r="J73" t="s">
        <v>16</v>
      </c>
      <c r="K73" t="s">
        <v>27</v>
      </c>
      <c r="L73" t="s">
        <v>18</v>
      </c>
      <c r="M73">
        <f>Table4[[#This Row],[Price]]/Table4[[#This Row],[Size (sqm)]]</f>
        <v>12629.761421319798</v>
      </c>
    </row>
    <row r="74" spans="1:13" x14ac:dyDescent="0.25">
      <c r="A74">
        <v>73</v>
      </c>
      <c r="B74" t="s">
        <v>23</v>
      </c>
      <c r="C74" t="s">
        <v>24</v>
      </c>
      <c r="D74" t="s">
        <v>29</v>
      </c>
      <c r="E74">
        <v>100</v>
      </c>
      <c r="F74">
        <v>1492269</v>
      </c>
      <c r="G74">
        <v>0</v>
      </c>
      <c r="H74">
        <v>3</v>
      </c>
      <c r="I74" t="s">
        <v>40</v>
      </c>
      <c r="J74" t="s">
        <v>16</v>
      </c>
      <c r="K74" t="s">
        <v>27</v>
      </c>
      <c r="L74" t="s">
        <v>28</v>
      </c>
      <c r="M74">
        <f>Table4[[#This Row],[Price]]/Table4[[#This Row],[Size (sqm)]]</f>
        <v>14922.69</v>
      </c>
    </row>
    <row r="75" spans="1:13" x14ac:dyDescent="0.25">
      <c r="A75">
        <v>74</v>
      </c>
      <c r="B75" t="s">
        <v>19</v>
      </c>
      <c r="C75" t="s">
        <v>54</v>
      </c>
      <c r="D75" t="s">
        <v>25</v>
      </c>
      <c r="E75">
        <v>439</v>
      </c>
      <c r="F75">
        <v>3655139</v>
      </c>
      <c r="G75">
        <v>6</v>
      </c>
      <c r="H75">
        <v>3</v>
      </c>
      <c r="I75" t="s">
        <v>99</v>
      </c>
      <c r="J75" t="s">
        <v>22</v>
      </c>
      <c r="K75" t="s">
        <v>33</v>
      </c>
      <c r="L75" t="s">
        <v>18</v>
      </c>
      <c r="M75">
        <f>Table4[[#This Row],[Price]]/Table4[[#This Row],[Size (sqm)]]</f>
        <v>8326.0569476082001</v>
      </c>
    </row>
    <row r="76" spans="1:13" x14ac:dyDescent="0.25">
      <c r="A76">
        <v>75</v>
      </c>
      <c r="B76" t="s">
        <v>19</v>
      </c>
      <c r="C76" t="s">
        <v>20</v>
      </c>
      <c r="D76" t="s">
        <v>25</v>
      </c>
      <c r="E76">
        <v>463</v>
      </c>
      <c r="F76">
        <v>3703935</v>
      </c>
      <c r="G76">
        <v>4</v>
      </c>
      <c r="H76">
        <v>4</v>
      </c>
      <c r="I76" t="s">
        <v>100</v>
      </c>
      <c r="J76" t="s">
        <v>16</v>
      </c>
      <c r="K76" t="s">
        <v>17</v>
      </c>
      <c r="L76" t="s">
        <v>28</v>
      </c>
      <c r="M76">
        <f>Table4[[#This Row],[Price]]/Table4[[#This Row],[Size (sqm)]]</f>
        <v>7999.8596112311016</v>
      </c>
    </row>
    <row r="77" spans="1:13" x14ac:dyDescent="0.25">
      <c r="A77">
        <v>76</v>
      </c>
      <c r="B77" t="s">
        <v>19</v>
      </c>
      <c r="C77" t="s">
        <v>54</v>
      </c>
      <c r="D77" t="s">
        <v>14</v>
      </c>
      <c r="E77">
        <v>175</v>
      </c>
      <c r="F77">
        <v>1256328</v>
      </c>
      <c r="G77">
        <v>4</v>
      </c>
      <c r="H77">
        <v>3</v>
      </c>
      <c r="I77" t="s">
        <v>101</v>
      </c>
      <c r="J77" t="s">
        <v>22</v>
      </c>
      <c r="K77" t="s">
        <v>33</v>
      </c>
      <c r="L77" t="s">
        <v>28</v>
      </c>
      <c r="M77">
        <f>Table4[[#This Row],[Price]]/Table4[[#This Row],[Size (sqm)]]</f>
        <v>7179.017142857143</v>
      </c>
    </row>
    <row r="78" spans="1:13" x14ac:dyDescent="0.25">
      <c r="A78">
        <v>77</v>
      </c>
      <c r="B78" t="s">
        <v>19</v>
      </c>
      <c r="C78" t="s">
        <v>47</v>
      </c>
      <c r="D78" t="s">
        <v>29</v>
      </c>
      <c r="E78">
        <v>177</v>
      </c>
      <c r="F78">
        <v>1736125</v>
      </c>
      <c r="G78">
        <v>0</v>
      </c>
      <c r="H78">
        <v>2</v>
      </c>
      <c r="I78" t="s">
        <v>102</v>
      </c>
      <c r="J78" t="s">
        <v>22</v>
      </c>
      <c r="K78" t="s">
        <v>27</v>
      </c>
      <c r="L78" t="s">
        <v>18</v>
      </c>
      <c r="M78">
        <f>Table4[[#This Row],[Price]]/Table4[[#This Row],[Size (sqm)]]</f>
        <v>9808.6158192090388</v>
      </c>
    </row>
    <row r="79" spans="1:13" x14ac:dyDescent="0.25">
      <c r="A79">
        <v>78</v>
      </c>
      <c r="B79" t="s">
        <v>12</v>
      </c>
      <c r="C79" t="s">
        <v>39</v>
      </c>
      <c r="D79" t="s">
        <v>14</v>
      </c>
      <c r="E79">
        <v>178</v>
      </c>
      <c r="F79">
        <v>2095318</v>
      </c>
      <c r="G79">
        <v>3</v>
      </c>
      <c r="H79">
        <v>4</v>
      </c>
      <c r="I79" t="s">
        <v>103</v>
      </c>
      <c r="J79" t="s">
        <v>22</v>
      </c>
      <c r="K79" t="s">
        <v>17</v>
      </c>
      <c r="L79" t="s">
        <v>18</v>
      </c>
      <c r="M79">
        <f>Table4[[#This Row],[Price]]/Table4[[#This Row],[Size (sqm)]]</f>
        <v>11771.449438202248</v>
      </c>
    </row>
    <row r="80" spans="1:13" x14ac:dyDescent="0.25">
      <c r="A80">
        <v>79</v>
      </c>
      <c r="B80" t="s">
        <v>19</v>
      </c>
      <c r="C80" t="s">
        <v>47</v>
      </c>
      <c r="D80" t="s">
        <v>14</v>
      </c>
      <c r="E80">
        <v>124</v>
      </c>
      <c r="F80">
        <v>1333363</v>
      </c>
      <c r="G80">
        <v>4</v>
      </c>
      <c r="H80">
        <v>3</v>
      </c>
      <c r="I80" t="s">
        <v>104</v>
      </c>
      <c r="J80" t="s">
        <v>16</v>
      </c>
      <c r="K80" t="s">
        <v>33</v>
      </c>
      <c r="L80" t="s">
        <v>28</v>
      </c>
      <c r="M80">
        <f>Table4[[#This Row],[Price]]/Table4[[#This Row],[Size (sqm)]]</f>
        <v>10752.927419354839</v>
      </c>
    </row>
    <row r="81" spans="1:13" x14ac:dyDescent="0.25">
      <c r="A81">
        <v>80</v>
      </c>
      <c r="B81" t="s">
        <v>23</v>
      </c>
      <c r="C81" t="s">
        <v>45</v>
      </c>
      <c r="D81" t="s">
        <v>25</v>
      </c>
      <c r="E81">
        <v>335</v>
      </c>
      <c r="F81">
        <v>5590176</v>
      </c>
      <c r="G81">
        <v>5</v>
      </c>
      <c r="H81">
        <v>3</v>
      </c>
      <c r="I81" t="s">
        <v>105</v>
      </c>
      <c r="J81" t="s">
        <v>16</v>
      </c>
      <c r="K81" t="s">
        <v>27</v>
      </c>
      <c r="L81" t="s">
        <v>28</v>
      </c>
      <c r="M81">
        <f>Table4[[#This Row],[Price]]/Table4[[#This Row],[Size (sqm)]]</f>
        <v>16687.092537313434</v>
      </c>
    </row>
    <row r="82" spans="1:13" x14ac:dyDescent="0.25">
      <c r="A82">
        <v>81</v>
      </c>
      <c r="B82" t="s">
        <v>23</v>
      </c>
      <c r="C82" t="s">
        <v>24</v>
      </c>
      <c r="D82" t="s">
        <v>14</v>
      </c>
      <c r="E82">
        <v>138</v>
      </c>
      <c r="F82">
        <v>2063110</v>
      </c>
      <c r="G82">
        <v>2</v>
      </c>
      <c r="H82">
        <v>1</v>
      </c>
      <c r="I82" t="s">
        <v>106</v>
      </c>
      <c r="J82" t="s">
        <v>16</v>
      </c>
      <c r="K82" t="s">
        <v>33</v>
      </c>
      <c r="L82" t="s">
        <v>28</v>
      </c>
      <c r="M82">
        <f>Table4[[#This Row],[Price]]/Table4[[#This Row],[Size (sqm)]]</f>
        <v>14950.072463768116</v>
      </c>
    </row>
    <row r="83" spans="1:13" x14ac:dyDescent="0.25">
      <c r="A83">
        <v>82</v>
      </c>
      <c r="B83" t="s">
        <v>19</v>
      </c>
      <c r="C83" t="s">
        <v>20</v>
      </c>
      <c r="D83" t="s">
        <v>29</v>
      </c>
      <c r="E83">
        <v>100</v>
      </c>
      <c r="F83">
        <v>955525</v>
      </c>
      <c r="G83">
        <v>0</v>
      </c>
      <c r="H83">
        <v>1</v>
      </c>
      <c r="I83" t="s">
        <v>107</v>
      </c>
      <c r="J83" t="s">
        <v>22</v>
      </c>
      <c r="K83" t="s">
        <v>27</v>
      </c>
      <c r="L83" t="s">
        <v>18</v>
      </c>
      <c r="M83">
        <f>Table4[[#This Row],[Price]]/Table4[[#This Row],[Size (sqm)]]</f>
        <v>9555.25</v>
      </c>
    </row>
    <row r="84" spans="1:13" x14ac:dyDescent="0.25">
      <c r="A84">
        <v>83</v>
      </c>
      <c r="B84" t="s">
        <v>23</v>
      </c>
      <c r="C84" t="s">
        <v>24</v>
      </c>
      <c r="D84" t="s">
        <v>14</v>
      </c>
      <c r="E84">
        <v>119</v>
      </c>
      <c r="F84">
        <v>1804994</v>
      </c>
      <c r="G84">
        <v>3</v>
      </c>
      <c r="H84">
        <v>4</v>
      </c>
      <c r="I84" t="s">
        <v>108</v>
      </c>
      <c r="J84" t="s">
        <v>22</v>
      </c>
      <c r="K84" t="s">
        <v>17</v>
      </c>
      <c r="L84" t="s">
        <v>28</v>
      </c>
      <c r="M84">
        <f>Table4[[#This Row],[Price]]/Table4[[#This Row],[Size (sqm)]]</f>
        <v>15168.01680672269</v>
      </c>
    </row>
    <row r="85" spans="1:13" x14ac:dyDescent="0.25">
      <c r="A85">
        <v>84</v>
      </c>
      <c r="B85" t="s">
        <v>12</v>
      </c>
      <c r="C85" t="s">
        <v>13</v>
      </c>
      <c r="D85" t="s">
        <v>14</v>
      </c>
      <c r="E85">
        <v>99</v>
      </c>
      <c r="F85">
        <v>1244668</v>
      </c>
      <c r="G85">
        <v>2</v>
      </c>
      <c r="H85">
        <v>1</v>
      </c>
      <c r="I85" t="s">
        <v>109</v>
      </c>
      <c r="J85" t="s">
        <v>16</v>
      </c>
      <c r="K85" t="s">
        <v>33</v>
      </c>
      <c r="L85" t="s">
        <v>18</v>
      </c>
      <c r="M85">
        <f>Table4[[#This Row],[Price]]/Table4[[#This Row],[Size (sqm)]]</f>
        <v>12572.404040404041</v>
      </c>
    </row>
    <row r="86" spans="1:13" x14ac:dyDescent="0.25">
      <c r="A86">
        <v>85</v>
      </c>
      <c r="B86" t="s">
        <v>23</v>
      </c>
      <c r="C86" t="s">
        <v>45</v>
      </c>
      <c r="D86" t="s">
        <v>29</v>
      </c>
      <c r="E86">
        <v>170</v>
      </c>
      <c r="F86">
        <v>2034172</v>
      </c>
      <c r="G86">
        <v>0</v>
      </c>
      <c r="H86">
        <v>2</v>
      </c>
      <c r="I86" t="s">
        <v>110</v>
      </c>
      <c r="J86" t="s">
        <v>16</v>
      </c>
      <c r="K86" t="s">
        <v>17</v>
      </c>
      <c r="L86" t="s">
        <v>28</v>
      </c>
      <c r="M86">
        <f>Table4[[#This Row],[Price]]/Table4[[#This Row],[Size (sqm)]]</f>
        <v>11965.717647058824</v>
      </c>
    </row>
    <row r="87" spans="1:13" x14ac:dyDescent="0.25">
      <c r="A87">
        <v>86</v>
      </c>
      <c r="B87" t="s">
        <v>23</v>
      </c>
      <c r="C87" t="s">
        <v>45</v>
      </c>
      <c r="D87" t="s">
        <v>14</v>
      </c>
      <c r="E87">
        <v>104</v>
      </c>
      <c r="F87">
        <v>1604634</v>
      </c>
      <c r="G87">
        <v>4</v>
      </c>
      <c r="H87">
        <v>2</v>
      </c>
      <c r="I87" t="s">
        <v>111</v>
      </c>
      <c r="J87" t="s">
        <v>22</v>
      </c>
      <c r="K87" t="s">
        <v>17</v>
      </c>
      <c r="L87" t="s">
        <v>18</v>
      </c>
      <c r="M87">
        <f>Table4[[#This Row],[Price]]/Table4[[#This Row],[Size (sqm)]]</f>
        <v>15429.173076923076</v>
      </c>
    </row>
    <row r="88" spans="1:13" x14ac:dyDescent="0.25">
      <c r="A88">
        <v>87</v>
      </c>
      <c r="B88" t="s">
        <v>12</v>
      </c>
      <c r="C88" t="s">
        <v>39</v>
      </c>
      <c r="D88" t="s">
        <v>25</v>
      </c>
      <c r="E88">
        <v>361</v>
      </c>
      <c r="F88">
        <v>4501641</v>
      </c>
      <c r="G88">
        <v>5</v>
      </c>
      <c r="H88">
        <v>1</v>
      </c>
      <c r="I88" t="s">
        <v>112</v>
      </c>
      <c r="J88" t="s">
        <v>16</v>
      </c>
      <c r="K88" t="s">
        <v>33</v>
      </c>
      <c r="L88" t="s">
        <v>18</v>
      </c>
      <c r="M88">
        <f>Table4[[#This Row],[Price]]/Table4[[#This Row],[Size (sqm)]]</f>
        <v>12469.919667590028</v>
      </c>
    </row>
    <row r="89" spans="1:13" x14ac:dyDescent="0.25">
      <c r="A89">
        <v>88</v>
      </c>
      <c r="B89" t="s">
        <v>23</v>
      </c>
      <c r="C89" t="s">
        <v>45</v>
      </c>
      <c r="D89" t="s">
        <v>14</v>
      </c>
      <c r="E89">
        <v>116</v>
      </c>
      <c r="F89">
        <v>1467027</v>
      </c>
      <c r="G89">
        <v>4</v>
      </c>
      <c r="H89">
        <v>2</v>
      </c>
      <c r="I89" t="s">
        <v>113</v>
      </c>
      <c r="J89" t="s">
        <v>16</v>
      </c>
      <c r="K89" t="s">
        <v>17</v>
      </c>
      <c r="L89" t="s">
        <v>18</v>
      </c>
      <c r="M89">
        <f>Table4[[#This Row],[Price]]/Table4[[#This Row],[Size (sqm)]]</f>
        <v>12646.784482758621</v>
      </c>
    </row>
    <row r="90" spans="1:13" x14ac:dyDescent="0.25">
      <c r="A90">
        <v>89</v>
      </c>
      <c r="B90" t="s">
        <v>23</v>
      </c>
      <c r="C90" t="s">
        <v>41</v>
      </c>
      <c r="D90" t="s">
        <v>29</v>
      </c>
      <c r="E90">
        <v>213</v>
      </c>
      <c r="F90">
        <v>2508349</v>
      </c>
      <c r="G90">
        <v>0</v>
      </c>
      <c r="H90">
        <v>2</v>
      </c>
      <c r="I90" t="s">
        <v>113</v>
      </c>
      <c r="J90" t="s">
        <v>16</v>
      </c>
      <c r="K90" t="s">
        <v>27</v>
      </c>
      <c r="L90" t="s">
        <v>28</v>
      </c>
      <c r="M90">
        <f>Table4[[#This Row],[Price]]/Table4[[#This Row],[Size (sqm)]]</f>
        <v>11776.286384976525</v>
      </c>
    </row>
    <row r="91" spans="1:13" x14ac:dyDescent="0.25">
      <c r="A91">
        <v>90</v>
      </c>
      <c r="B91" t="s">
        <v>19</v>
      </c>
      <c r="C91" t="s">
        <v>47</v>
      </c>
      <c r="D91" t="s">
        <v>14</v>
      </c>
      <c r="E91">
        <v>82</v>
      </c>
      <c r="F91">
        <v>1117272</v>
      </c>
      <c r="G91">
        <v>2</v>
      </c>
      <c r="H91">
        <v>2</v>
      </c>
      <c r="I91" t="s">
        <v>114</v>
      </c>
      <c r="J91" t="s">
        <v>16</v>
      </c>
      <c r="K91" t="s">
        <v>17</v>
      </c>
      <c r="L91" t="s">
        <v>18</v>
      </c>
      <c r="M91">
        <f>Table4[[#This Row],[Price]]/Table4[[#This Row],[Size (sqm)]]</f>
        <v>13625.268292682927</v>
      </c>
    </row>
    <row r="92" spans="1:13" x14ac:dyDescent="0.25">
      <c r="A92">
        <v>91</v>
      </c>
      <c r="B92" t="s">
        <v>12</v>
      </c>
      <c r="C92" t="s">
        <v>36</v>
      </c>
      <c r="D92" t="s">
        <v>25</v>
      </c>
      <c r="E92">
        <v>348</v>
      </c>
      <c r="F92">
        <v>4704995</v>
      </c>
      <c r="G92">
        <v>3</v>
      </c>
      <c r="H92">
        <v>2</v>
      </c>
      <c r="I92" t="s">
        <v>115</v>
      </c>
      <c r="J92" t="s">
        <v>16</v>
      </c>
      <c r="K92" t="s">
        <v>17</v>
      </c>
      <c r="L92" t="s">
        <v>18</v>
      </c>
      <c r="M92">
        <f>Table4[[#This Row],[Price]]/Table4[[#This Row],[Size (sqm)]]</f>
        <v>13520.100574712644</v>
      </c>
    </row>
    <row r="93" spans="1:13" x14ac:dyDescent="0.25">
      <c r="A93">
        <v>92</v>
      </c>
      <c r="B93" t="s">
        <v>23</v>
      </c>
      <c r="C93" t="s">
        <v>41</v>
      </c>
      <c r="D93" t="s">
        <v>29</v>
      </c>
      <c r="E93">
        <v>227</v>
      </c>
      <c r="F93">
        <v>3786576</v>
      </c>
      <c r="G93">
        <v>0</v>
      </c>
      <c r="H93">
        <v>2</v>
      </c>
      <c r="I93" t="s">
        <v>79</v>
      </c>
      <c r="J93" t="s">
        <v>22</v>
      </c>
      <c r="K93" t="s">
        <v>33</v>
      </c>
      <c r="L93" t="s">
        <v>18</v>
      </c>
      <c r="M93">
        <f>Table4[[#This Row],[Price]]/Table4[[#This Row],[Size (sqm)]]</f>
        <v>16680.95154185022</v>
      </c>
    </row>
    <row r="94" spans="1:13" x14ac:dyDescent="0.25">
      <c r="A94">
        <v>93</v>
      </c>
      <c r="B94" t="s">
        <v>12</v>
      </c>
      <c r="C94" t="s">
        <v>39</v>
      </c>
      <c r="D94" t="s">
        <v>29</v>
      </c>
      <c r="E94">
        <v>242</v>
      </c>
      <c r="F94">
        <v>2613681</v>
      </c>
      <c r="G94">
        <v>0</v>
      </c>
      <c r="H94">
        <v>3</v>
      </c>
      <c r="I94" t="s">
        <v>79</v>
      </c>
      <c r="J94" t="s">
        <v>16</v>
      </c>
      <c r="K94" t="s">
        <v>33</v>
      </c>
      <c r="L94" t="s">
        <v>18</v>
      </c>
      <c r="M94">
        <f>Table4[[#This Row],[Price]]/Table4[[#This Row],[Size (sqm)]]</f>
        <v>10800.334710743802</v>
      </c>
    </row>
    <row r="95" spans="1:13" x14ac:dyDescent="0.25">
      <c r="A95">
        <v>94</v>
      </c>
      <c r="B95" t="s">
        <v>12</v>
      </c>
      <c r="C95" t="s">
        <v>13</v>
      </c>
      <c r="D95" t="s">
        <v>29</v>
      </c>
      <c r="E95">
        <v>214</v>
      </c>
      <c r="F95">
        <v>2524531</v>
      </c>
      <c r="G95">
        <v>0</v>
      </c>
      <c r="H95">
        <v>4</v>
      </c>
      <c r="I95" t="s">
        <v>116</v>
      </c>
      <c r="J95" t="s">
        <v>22</v>
      </c>
      <c r="K95" t="s">
        <v>17</v>
      </c>
      <c r="L95" t="s">
        <v>28</v>
      </c>
      <c r="M95">
        <f>Table4[[#This Row],[Price]]/Table4[[#This Row],[Size (sqm)]]</f>
        <v>11796.873831775702</v>
      </c>
    </row>
    <row r="96" spans="1:13" x14ac:dyDescent="0.25">
      <c r="A96">
        <v>95</v>
      </c>
      <c r="B96" t="s">
        <v>19</v>
      </c>
      <c r="C96" t="s">
        <v>54</v>
      </c>
      <c r="D96" t="s">
        <v>25</v>
      </c>
      <c r="E96">
        <v>393</v>
      </c>
      <c r="F96">
        <v>4252865</v>
      </c>
      <c r="G96">
        <v>6</v>
      </c>
      <c r="H96">
        <v>1</v>
      </c>
      <c r="I96" t="s">
        <v>117</v>
      </c>
      <c r="J96" t="s">
        <v>16</v>
      </c>
      <c r="K96" t="s">
        <v>17</v>
      </c>
      <c r="L96" t="s">
        <v>18</v>
      </c>
      <c r="M96">
        <f>Table4[[#This Row],[Price]]/Table4[[#This Row],[Size (sqm)]]</f>
        <v>10821.539440203562</v>
      </c>
    </row>
    <row r="97" spans="1:13" x14ac:dyDescent="0.25">
      <c r="A97">
        <v>96</v>
      </c>
      <c r="B97" t="s">
        <v>19</v>
      </c>
      <c r="C97" t="s">
        <v>20</v>
      </c>
      <c r="D97" t="s">
        <v>14</v>
      </c>
      <c r="E97">
        <v>85</v>
      </c>
      <c r="F97">
        <v>928420</v>
      </c>
      <c r="G97">
        <v>4</v>
      </c>
      <c r="H97">
        <v>1</v>
      </c>
      <c r="I97" t="s">
        <v>118</v>
      </c>
      <c r="J97" t="s">
        <v>16</v>
      </c>
      <c r="K97" t="s">
        <v>17</v>
      </c>
      <c r="L97" t="s">
        <v>28</v>
      </c>
      <c r="M97">
        <f>Table4[[#This Row],[Price]]/Table4[[#This Row],[Size (sqm)]]</f>
        <v>10922.588235294117</v>
      </c>
    </row>
    <row r="98" spans="1:13" x14ac:dyDescent="0.25">
      <c r="A98">
        <v>97</v>
      </c>
      <c r="B98" t="s">
        <v>23</v>
      </c>
      <c r="C98" t="s">
        <v>24</v>
      </c>
      <c r="D98" t="s">
        <v>29</v>
      </c>
      <c r="E98">
        <v>180</v>
      </c>
      <c r="F98">
        <v>2913058</v>
      </c>
      <c r="G98">
        <v>0</v>
      </c>
      <c r="H98">
        <v>4</v>
      </c>
      <c r="I98" t="s">
        <v>119</v>
      </c>
      <c r="J98" t="s">
        <v>22</v>
      </c>
      <c r="K98" t="s">
        <v>33</v>
      </c>
      <c r="L98" t="s">
        <v>18</v>
      </c>
      <c r="M98">
        <f>Table4[[#This Row],[Price]]/Table4[[#This Row],[Size (sqm)]]</f>
        <v>16183.655555555555</v>
      </c>
    </row>
    <row r="99" spans="1:13" x14ac:dyDescent="0.25">
      <c r="A99">
        <v>98</v>
      </c>
      <c r="B99" t="s">
        <v>19</v>
      </c>
      <c r="C99" t="s">
        <v>54</v>
      </c>
      <c r="D99" t="s">
        <v>29</v>
      </c>
      <c r="E99">
        <v>107</v>
      </c>
      <c r="F99">
        <v>850357</v>
      </c>
      <c r="G99">
        <v>0</v>
      </c>
      <c r="H99">
        <v>4</v>
      </c>
      <c r="I99" t="s">
        <v>120</v>
      </c>
      <c r="J99" t="s">
        <v>16</v>
      </c>
      <c r="K99" t="s">
        <v>33</v>
      </c>
      <c r="L99" t="s">
        <v>28</v>
      </c>
      <c r="M99">
        <f>Table4[[#This Row],[Price]]/Table4[[#This Row],[Size (sqm)]]</f>
        <v>7947.2616822429909</v>
      </c>
    </row>
    <row r="100" spans="1:13" x14ac:dyDescent="0.25">
      <c r="A100">
        <v>99</v>
      </c>
      <c r="B100" t="s">
        <v>19</v>
      </c>
      <c r="C100" t="s">
        <v>20</v>
      </c>
      <c r="D100" t="s">
        <v>14</v>
      </c>
      <c r="E100">
        <v>126</v>
      </c>
      <c r="F100">
        <v>1186047</v>
      </c>
      <c r="G100">
        <v>2</v>
      </c>
      <c r="H100">
        <v>1</v>
      </c>
      <c r="I100" t="s">
        <v>121</v>
      </c>
      <c r="J100" t="s">
        <v>22</v>
      </c>
      <c r="K100" t="s">
        <v>17</v>
      </c>
      <c r="L100" t="s">
        <v>18</v>
      </c>
      <c r="M100">
        <f>Table4[[#This Row],[Price]]/Table4[[#This Row],[Size (sqm)]]</f>
        <v>9413.0714285714294</v>
      </c>
    </row>
    <row r="101" spans="1:13" x14ac:dyDescent="0.25">
      <c r="A101">
        <v>100</v>
      </c>
      <c r="B101" t="s">
        <v>12</v>
      </c>
      <c r="C101" t="s">
        <v>39</v>
      </c>
      <c r="D101" t="s">
        <v>14</v>
      </c>
      <c r="E101">
        <v>174</v>
      </c>
      <c r="F101">
        <v>1798547</v>
      </c>
      <c r="G101">
        <v>2</v>
      </c>
      <c r="H101">
        <v>4</v>
      </c>
      <c r="I101" t="s">
        <v>122</v>
      </c>
      <c r="J101" t="s">
        <v>16</v>
      </c>
      <c r="K101" t="s">
        <v>33</v>
      </c>
      <c r="L101" t="s">
        <v>28</v>
      </c>
      <c r="M101">
        <f>Table4[[#This Row],[Price]]/Table4[[#This Row],[Size (sqm)]]</f>
        <v>10336.477011494253</v>
      </c>
    </row>
    <row r="102" spans="1:13" x14ac:dyDescent="0.25">
      <c r="A102">
        <v>101</v>
      </c>
      <c r="B102" t="s">
        <v>23</v>
      </c>
      <c r="C102" t="s">
        <v>31</v>
      </c>
      <c r="D102" t="s">
        <v>14</v>
      </c>
      <c r="E102">
        <v>139</v>
      </c>
      <c r="F102">
        <v>1860694</v>
      </c>
      <c r="G102">
        <v>3</v>
      </c>
      <c r="H102">
        <v>3</v>
      </c>
      <c r="I102" t="s">
        <v>123</v>
      </c>
      <c r="J102" t="s">
        <v>22</v>
      </c>
      <c r="K102" t="s">
        <v>17</v>
      </c>
      <c r="L102" t="s">
        <v>18</v>
      </c>
      <c r="M102">
        <f>Table4[[#This Row],[Price]]/Table4[[#This Row],[Size (sqm)]]</f>
        <v>13386.287769784172</v>
      </c>
    </row>
    <row r="103" spans="1:13" x14ac:dyDescent="0.25">
      <c r="A103">
        <v>102</v>
      </c>
      <c r="B103" t="s">
        <v>19</v>
      </c>
      <c r="C103" t="s">
        <v>20</v>
      </c>
      <c r="D103" t="s">
        <v>14</v>
      </c>
      <c r="E103">
        <v>108</v>
      </c>
      <c r="F103">
        <v>939521</v>
      </c>
      <c r="G103">
        <v>4</v>
      </c>
      <c r="H103">
        <v>4</v>
      </c>
      <c r="I103" t="s">
        <v>124</v>
      </c>
      <c r="J103" t="s">
        <v>16</v>
      </c>
      <c r="K103" t="s">
        <v>33</v>
      </c>
      <c r="L103" t="s">
        <v>18</v>
      </c>
      <c r="M103">
        <f>Table4[[#This Row],[Price]]/Table4[[#This Row],[Size (sqm)]]</f>
        <v>8699.2685185185182</v>
      </c>
    </row>
    <row r="104" spans="1:13" x14ac:dyDescent="0.25">
      <c r="A104">
        <v>103</v>
      </c>
      <c r="B104" t="s">
        <v>19</v>
      </c>
      <c r="C104" t="s">
        <v>47</v>
      </c>
      <c r="D104" t="s">
        <v>29</v>
      </c>
      <c r="E104">
        <v>198</v>
      </c>
      <c r="F104">
        <v>1669146</v>
      </c>
      <c r="G104">
        <v>0</v>
      </c>
      <c r="H104">
        <v>4</v>
      </c>
      <c r="I104" t="s">
        <v>125</v>
      </c>
      <c r="J104" t="s">
        <v>22</v>
      </c>
      <c r="K104" t="s">
        <v>17</v>
      </c>
      <c r="L104" t="s">
        <v>28</v>
      </c>
      <c r="M104">
        <f>Table4[[#This Row],[Price]]/Table4[[#This Row],[Size (sqm)]]</f>
        <v>8430.0303030303039</v>
      </c>
    </row>
    <row r="105" spans="1:13" x14ac:dyDescent="0.25">
      <c r="A105">
        <v>104</v>
      </c>
      <c r="B105" t="s">
        <v>19</v>
      </c>
      <c r="C105" t="s">
        <v>47</v>
      </c>
      <c r="D105" t="s">
        <v>14</v>
      </c>
      <c r="E105">
        <v>159</v>
      </c>
      <c r="F105">
        <v>2090580</v>
      </c>
      <c r="G105">
        <v>4</v>
      </c>
      <c r="H105">
        <v>1</v>
      </c>
      <c r="I105" t="s">
        <v>126</v>
      </c>
      <c r="J105" t="s">
        <v>22</v>
      </c>
      <c r="K105" t="s">
        <v>17</v>
      </c>
      <c r="L105" t="s">
        <v>18</v>
      </c>
      <c r="M105">
        <f>Table4[[#This Row],[Price]]/Table4[[#This Row],[Size (sqm)]]</f>
        <v>13148.301886792453</v>
      </c>
    </row>
    <row r="106" spans="1:13" x14ac:dyDescent="0.25">
      <c r="A106">
        <v>105</v>
      </c>
      <c r="B106" t="s">
        <v>19</v>
      </c>
      <c r="C106" t="s">
        <v>47</v>
      </c>
      <c r="D106" t="s">
        <v>29</v>
      </c>
      <c r="E106">
        <v>148</v>
      </c>
      <c r="F106">
        <v>1713281</v>
      </c>
      <c r="G106">
        <v>0</v>
      </c>
      <c r="H106">
        <v>2</v>
      </c>
      <c r="I106" t="s">
        <v>103</v>
      </c>
      <c r="J106" t="s">
        <v>16</v>
      </c>
      <c r="K106" t="s">
        <v>27</v>
      </c>
      <c r="L106" t="s">
        <v>18</v>
      </c>
      <c r="M106">
        <f>Table4[[#This Row],[Price]]/Table4[[#This Row],[Size (sqm)]]</f>
        <v>11576.222972972973</v>
      </c>
    </row>
    <row r="107" spans="1:13" x14ac:dyDescent="0.25">
      <c r="A107">
        <v>106</v>
      </c>
      <c r="B107" t="s">
        <v>19</v>
      </c>
      <c r="C107" t="s">
        <v>54</v>
      </c>
      <c r="D107" t="s">
        <v>14</v>
      </c>
      <c r="E107">
        <v>155</v>
      </c>
      <c r="F107">
        <v>1185484</v>
      </c>
      <c r="G107">
        <v>4</v>
      </c>
      <c r="H107">
        <v>1</v>
      </c>
      <c r="I107" t="s">
        <v>60</v>
      </c>
      <c r="J107" t="s">
        <v>22</v>
      </c>
      <c r="K107" t="s">
        <v>27</v>
      </c>
      <c r="L107" t="s">
        <v>28</v>
      </c>
      <c r="M107">
        <f>Table4[[#This Row],[Price]]/Table4[[#This Row],[Size (sqm)]]</f>
        <v>7648.2838709677417</v>
      </c>
    </row>
    <row r="108" spans="1:13" x14ac:dyDescent="0.25">
      <c r="A108">
        <v>107</v>
      </c>
      <c r="B108" t="s">
        <v>23</v>
      </c>
      <c r="C108" t="s">
        <v>45</v>
      </c>
      <c r="D108" t="s">
        <v>25</v>
      </c>
      <c r="E108">
        <v>414</v>
      </c>
      <c r="F108">
        <v>4712954</v>
      </c>
      <c r="G108">
        <v>3</v>
      </c>
      <c r="H108">
        <v>4</v>
      </c>
      <c r="I108" t="s">
        <v>113</v>
      </c>
      <c r="J108" t="s">
        <v>16</v>
      </c>
      <c r="K108" t="s">
        <v>27</v>
      </c>
      <c r="L108" t="s">
        <v>18</v>
      </c>
      <c r="M108">
        <f>Table4[[#This Row],[Price]]/Table4[[#This Row],[Size (sqm)]]</f>
        <v>11383.946859903381</v>
      </c>
    </row>
    <row r="109" spans="1:13" x14ac:dyDescent="0.25">
      <c r="A109">
        <v>108</v>
      </c>
      <c r="B109" t="s">
        <v>12</v>
      </c>
      <c r="C109" t="s">
        <v>39</v>
      </c>
      <c r="D109" t="s">
        <v>25</v>
      </c>
      <c r="E109">
        <v>407</v>
      </c>
      <c r="F109">
        <v>4159686</v>
      </c>
      <c r="G109">
        <v>5</v>
      </c>
      <c r="H109">
        <v>4</v>
      </c>
      <c r="I109" t="s">
        <v>127</v>
      </c>
      <c r="J109" t="s">
        <v>16</v>
      </c>
      <c r="K109" t="s">
        <v>27</v>
      </c>
      <c r="L109" t="s">
        <v>18</v>
      </c>
      <c r="M109">
        <f>Table4[[#This Row],[Price]]/Table4[[#This Row],[Size (sqm)]]</f>
        <v>10220.358722358722</v>
      </c>
    </row>
    <row r="110" spans="1:13" x14ac:dyDescent="0.25">
      <c r="A110">
        <v>109</v>
      </c>
      <c r="B110" t="s">
        <v>23</v>
      </c>
      <c r="C110" t="s">
        <v>24</v>
      </c>
      <c r="D110" t="s">
        <v>14</v>
      </c>
      <c r="E110">
        <v>175</v>
      </c>
      <c r="F110">
        <v>2971327</v>
      </c>
      <c r="G110">
        <v>3</v>
      </c>
      <c r="H110">
        <v>4</v>
      </c>
      <c r="I110" t="s">
        <v>120</v>
      </c>
      <c r="J110" t="s">
        <v>16</v>
      </c>
      <c r="K110" t="s">
        <v>27</v>
      </c>
      <c r="L110" t="s">
        <v>18</v>
      </c>
      <c r="M110">
        <f>Table4[[#This Row],[Price]]/Table4[[#This Row],[Size (sqm)]]</f>
        <v>16979.01142857143</v>
      </c>
    </row>
    <row r="111" spans="1:13" x14ac:dyDescent="0.25">
      <c r="A111">
        <v>110</v>
      </c>
      <c r="B111" t="s">
        <v>19</v>
      </c>
      <c r="C111" t="s">
        <v>54</v>
      </c>
      <c r="D111" t="s">
        <v>29</v>
      </c>
      <c r="E111">
        <v>175</v>
      </c>
      <c r="F111">
        <v>1718477</v>
      </c>
      <c r="G111">
        <v>0</v>
      </c>
      <c r="H111">
        <v>4</v>
      </c>
      <c r="I111" t="s">
        <v>128</v>
      </c>
      <c r="J111" t="s">
        <v>22</v>
      </c>
      <c r="K111" t="s">
        <v>17</v>
      </c>
      <c r="L111" t="s">
        <v>18</v>
      </c>
      <c r="M111">
        <f>Table4[[#This Row],[Price]]/Table4[[#This Row],[Size (sqm)]]</f>
        <v>9819.8685714285712</v>
      </c>
    </row>
    <row r="112" spans="1:13" x14ac:dyDescent="0.25">
      <c r="A112">
        <v>111</v>
      </c>
      <c r="B112" t="s">
        <v>23</v>
      </c>
      <c r="C112" t="s">
        <v>45</v>
      </c>
      <c r="D112" t="s">
        <v>25</v>
      </c>
      <c r="E112">
        <v>474</v>
      </c>
      <c r="F112">
        <v>6645159</v>
      </c>
      <c r="G112">
        <v>4</v>
      </c>
      <c r="H112">
        <v>1</v>
      </c>
      <c r="I112" t="s">
        <v>129</v>
      </c>
      <c r="J112" t="s">
        <v>22</v>
      </c>
      <c r="K112" t="s">
        <v>27</v>
      </c>
      <c r="L112" t="s">
        <v>18</v>
      </c>
      <c r="M112">
        <f>Table4[[#This Row],[Price]]/Table4[[#This Row],[Size (sqm)]]</f>
        <v>14019.322784810127</v>
      </c>
    </row>
    <row r="113" spans="1:13" x14ac:dyDescent="0.25">
      <c r="A113">
        <v>112</v>
      </c>
      <c r="B113" t="s">
        <v>12</v>
      </c>
      <c r="C113" t="s">
        <v>36</v>
      </c>
      <c r="D113" t="s">
        <v>14</v>
      </c>
      <c r="E113">
        <v>107</v>
      </c>
      <c r="F113">
        <v>1523226</v>
      </c>
      <c r="G113">
        <v>2</v>
      </c>
      <c r="H113">
        <v>3</v>
      </c>
      <c r="I113" t="s">
        <v>130</v>
      </c>
      <c r="J113" t="s">
        <v>22</v>
      </c>
      <c r="K113" t="s">
        <v>27</v>
      </c>
      <c r="L113" t="s">
        <v>18</v>
      </c>
      <c r="M113">
        <f>Table4[[#This Row],[Price]]/Table4[[#This Row],[Size (sqm)]]</f>
        <v>14235.757009345794</v>
      </c>
    </row>
    <row r="114" spans="1:13" x14ac:dyDescent="0.25">
      <c r="A114">
        <v>113</v>
      </c>
      <c r="B114" t="s">
        <v>19</v>
      </c>
      <c r="C114" t="s">
        <v>20</v>
      </c>
      <c r="D114" t="s">
        <v>25</v>
      </c>
      <c r="E114">
        <v>285</v>
      </c>
      <c r="F114">
        <v>2911481</v>
      </c>
      <c r="G114">
        <v>6</v>
      </c>
      <c r="H114">
        <v>4</v>
      </c>
      <c r="I114" t="s">
        <v>72</v>
      </c>
      <c r="J114" t="s">
        <v>16</v>
      </c>
      <c r="K114" t="s">
        <v>33</v>
      </c>
      <c r="L114" t="s">
        <v>28</v>
      </c>
      <c r="M114">
        <f>Table4[[#This Row],[Price]]/Table4[[#This Row],[Size (sqm)]]</f>
        <v>10215.722807017544</v>
      </c>
    </row>
    <row r="115" spans="1:13" x14ac:dyDescent="0.25">
      <c r="A115">
        <v>114</v>
      </c>
      <c r="B115" t="s">
        <v>12</v>
      </c>
      <c r="C115" t="s">
        <v>13</v>
      </c>
      <c r="D115" t="s">
        <v>14</v>
      </c>
      <c r="E115">
        <v>173</v>
      </c>
      <c r="F115">
        <v>1791016</v>
      </c>
      <c r="G115">
        <v>2</v>
      </c>
      <c r="H115">
        <v>2</v>
      </c>
      <c r="I115" t="s">
        <v>131</v>
      </c>
      <c r="J115" t="s">
        <v>16</v>
      </c>
      <c r="K115" t="s">
        <v>33</v>
      </c>
      <c r="L115" t="s">
        <v>18</v>
      </c>
      <c r="M115">
        <f>Table4[[#This Row],[Price]]/Table4[[#This Row],[Size (sqm)]]</f>
        <v>10352.693641618496</v>
      </c>
    </row>
    <row r="116" spans="1:13" x14ac:dyDescent="0.25">
      <c r="A116">
        <v>115</v>
      </c>
      <c r="B116" t="s">
        <v>23</v>
      </c>
      <c r="C116" t="s">
        <v>41</v>
      </c>
      <c r="D116" t="s">
        <v>25</v>
      </c>
      <c r="E116">
        <v>462</v>
      </c>
      <c r="F116">
        <v>8778025</v>
      </c>
      <c r="G116">
        <v>4</v>
      </c>
      <c r="H116">
        <v>2</v>
      </c>
      <c r="I116" t="s">
        <v>132</v>
      </c>
      <c r="J116" t="s">
        <v>16</v>
      </c>
      <c r="K116" t="s">
        <v>17</v>
      </c>
      <c r="L116" t="s">
        <v>18</v>
      </c>
      <c r="M116">
        <f>Table4[[#This Row],[Price]]/Table4[[#This Row],[Size (sqm)]]</f>
        <v>19000.054112554113</v>
      </c>
    </row>
    <row r="117" spans="1:13" x14ac:dyDescent="0.25">
      <c r="A117">
        <v>116</v>
      </c>
      <c r="B117" t="s">
        <v>12</v>
      </c>
      <c r="C117" t="s">
        <v>36</v>
      </c>
      <c r="D117" t="s">
        <v>29</v>
      </c>
      <c r="E117">
        <v>150</v>
      </c>
      <c r="F117">
        <v>1703178</v>
      </c>
      <c r="G117">
        <v>0</v>
      </c>
      <c r="H117">
        <v>2</v>
      </c>
      <c r="I117" t="s">
        <v>133</v>
      </c>
      <c r="J117" t="s">
        <v>16</v>
      </c>
      <c r="K117" t="s">
        <v>17</v>
      </c>
      <c r="L117" t="s">
        <v>28</v>
      </c>
      <c r="M117">
        <f>Table4[[#This Row],[Price]]/Table4[[#This Row],[Size (sqm)]]</f>
        <v>11354.52</v>
      </c>
    </row>
    <row r="118" spans="1:13" x14ac:dyDescent="0.25">
      <c r="A118">
        <v>117</v>
      </c>
      <c r="B118" t="s">
        <v>12</v>
      </c>
      <c r="C118" t="s">
        <v>39</v>
      </c>
      <c r="D118" t="s">
        <v>29</v>
      </c>
      <c r="E118">
        <v>157</v>
      </c>
      <c r="F118">
        <v>1953097</v>
      </c>
      <c r="G118">
        <v>0</v>
      </c>
      <c r="H118">
        <v>3</v>
      </c>
      <c r="I118" t="s">
        <v>134</v>
      </c>
      <c r="J118" t="s">
        <v>16</v>
      </c>
      <c r="K118" t="s">
        <v>33</v>
      </c>
      <c r="L118" t="s">
        <v>18</v>
      </c>
      <c r="M118">
        <f>Table4[[#This Row],[Price]]/Table4[[#This Row],[Size (sqm)]]</f>
        <v>12440.108280254777</v>
      </c>
    </row>
    <row r="119" spans="1:13" x14ac:dyDescent="0.25">
      <c r="A119">
        <v>118</v>
      </c>
      <c r="B119" t="s">
        <v>12</v>
      </c>
      <c r="C119" t="s">
        <v>13</v>
      </c>
      <c r="D119" t="s">
        <v>29</v>
      </c>
      <c r="E119">
        <v>93</v>
      </c>
      <c r="F119">
        <v>933035</v>
      </c>
      <c r="G119">
        <v>0</v>
      </c>
      <c r="H119">
        <v>2</v>
      </c>
      <c r="I119" t="s">
        <v>135</v>
      </c>
      <c r="J119" t="s">
        <v>16</v>
      </c>
      <c r="K119" t="s">
        <v>17</v>
      </c>
      <c r="L119" t="s">
        <v>28</v>
      </c>
      <c r="M119">
        <f>Table4[[#This Row],[Price]]/Table4[[#This Row],[Size (sqm)]]</f>
        <v>10032.634408602151</v>
      </c>
    </row>
    <row r="120" spans="1:13" x14ac:dyDescent="0.25">
      <c r="A120">
        <v>119</v>
      </c>
      <c r="B120" t="s">
        <v>23</v>
      </c>
      <c r="C120" t="s">
        <v>45</v>
      </c>
      <c r="D120" t="s">
        <v>25</v>
      </c>
      <c r="E120">
        <v>370</v>
      </c>
      <c r="F120">
        <v>5309131</v>
      </c>
      <c r="G120">
        <v>3</v>
      </c>
      <c r="H120">
        <v>3</v>
      </c>
      <c r="I120" t="s">
        <v>136</v>
      </c>
      <c r="J120" t="s">
        <v>22</v>
      </c>
      <c r="K120" t="s">
        <v>33</v>
      </c>
      <c r="L120" t="s">
        <v>28</v>
      </c>
      <c r="M120">
        <f>Table4[[#This Row],[Price]]/Table4[[#This Row],[Size (sqm)]]</f>
        <v>14349.002702702703</v>
      </c>
    </row>
    <row r="121" spans="1:13" x14ac:dyDescent="0.25">
      <c r="A121">
        <v>120</v>
      </c>
      <c r="B121" t="s">
        <v>12</v>
      </c>
      <c r="C121" t="s">
        <v>13</v>
      </c>
      <c r="D121" t="s">
        <v>25</v>
      </c>
      <c r="E121">
        <v>338</v>
      </c>
      <c r="F121">
        <v>4598392</v>
      </c>
      <c r="G121">
        <v>5</v>
      </c>
      <c r="H121">
        <v>4</v>
      </c>
      <c r="I121" t="s">
        <v>137</v>
      </c>
      <c r="J121" t="s">
        <v>22</v>
      </c>
      <c r="K121" t="s">
        <v>33</v>
      </c>
      <c r="L121" t="s">
        <v>18</v>
      </c>
      <c r="M121">
        <f>Table4[[#This Row],[Price]]/Table4[[#This Row],[Size (sqm)]]</f>
        <v>13604.710059171597</v>
      </c>
    </row>
    <row r="122" spans="1:13" x14ac:dyDescent="0.25">
      <c r="A122">
        <v>121</v>
      </c>
      <c r="B122" t="s">
        <v>23</v>
      </c>
      <c r="C122" t="s">
        <v>45</v>
      </c>
      <c r="D122" t="s">
        <v>29</v>
      </c>
      <c r="E122">
        <v>120</v>
      </c>
      <c r="F122">
        <v>1841934</v>
      </c>
      <c r="G122">
        <v>0</v>
      </c>
      <c r="H122">
        <v>4</v>
      </c>
      <c r="I122" t="s">
        <v>138</v>
      </c>
      <c r="J122" t="s">
        <v>16</v>
      </c>
      <c r="K122" t="s">
        <v>27</v>
      </c>
      <c r="L122" t="s">
        <v>28</v>
      </c>
      <c r="M122">
        <f>Table4[[#This Row],[Price]]/Table4[[#This Row],[Size (sqm)]]</f>
        <v>15349.45</v>
      </c>
    </row>
    <row r="123" spans="1:13" x14ac:dyDescent="0.25">
      <c r="A123">
        <v>122</v>
      </c>
      <c r="B123" t="s">
        <v>23</v>
      </c>
      <c r="C123" t="s">
        <v>31</v>
      </c>
      <c r="D123" t="s">
        <v>29</v>
      </c>
      <c r="E123">
        <v>126</v>
      </c>
      <c r="F123">
        <v>1703719</v>
      </c>
      <c r="G123">
        <v>0</v>
      </c>
      <c r="H123">
        <v>1</v>
      </c>
      <c r="I123" t="s">
        <v>139</v>
      </c>
      <c r="J123" t="s">
        <v>16</v>
      </c>
      <c r="K123" t="s">
        <v>17</v>
      </c>
      <c r="L123" t="s">
        <v>28</v>
      </c>
      <c r="M123">
        <f>Table4[[#This Row],[Price]]/Table4[[#This Row],[Size (sqm)]]</f>
        <v>13521.579365079366</v>
      </c>
    </row>
    <row r="124" spans="1:13" x14ac:dyDescent="0.25">
      <c r="A124">
        <v>123</v>
      </c>
      <c r="B124" t="s">
        <v>23</v>
      </c>
      <c r="C124" t="s">
        <v>45</v>
      </c>
      <c r="D124" t="s">
        <v>29</v>
      </c>
      <c r="E124">
        <v>134</v>
      </c>
      <c r="F124">
        <v>1443363</v>
      </c>
      <c r="G124">
        <v>0</v>
      </c>
      <c r="H124">
        <v>2</v>
      </c>
      <c r="I124" t="s">
        <v>140</v>
      </c>
      <c r="J124" t="s">
        <v>22</v>
      </c>
      <c r="K124" t="s">
        <v>17</v>
      </c>
      <c r="L124" t="s">
        <v>28</v>
      </c>
      <c r="M124">
        <f>Table4[[#This Row],[Price]]/Table4[[#This Row],[Size (sqm)]]</f>
        <v>10771.365671641792</v>
      </c>
    </row>
    <row r="125" spans="1:13" x14ac:dyDescent="0.25">
      <c r="A125">
        <v>124</v>
      </c>
      <c r="B125" t="s">
        <v>19</v>
      </c>
      <c r="C125" t="s">
        <v>47</v>
      </c>
      <c r="D125" t="s">
        <v>14</v>
      </c>
      <c r="E125">
        <v>110</v>
      </c>
      <c r="F125">
        <v>850294</v>
      </c>
      <c r="G125">
        <v>3</v>
      </c>
      <c r="H125">
        <v>3</v>
      </c>
      <c r="I125" t="s">
        <v>105</v>
      </c>
      <c r="J125" t="s">
        <v>22</v>
      </c>
      <c r="K125" t="s">
        <v>33</v>
      </c>
      <c r="L125" t="s">
        <v>28</v>
      </c>
      <c r="M125">
        <f>Table4[[#This Row],[Price]]/Table4[[#This Row],[Size (sqm)]]</f>
        <v>7729.9454545454546</v>
      </c>
    </row>
    <row r="126" spans="1:13" x14ac:dyDescent="0.25">
      <c r="A126">
        <v>125</v>
      </c>
      <c r="B126" t="s">
        <v>23</v>
      </c>
      <c r="C126" t="s">
        <v>31</v>
      </c>
      <c r="D126" t="s">
        <v>14</v>
      </c>
      <c r="E126">
        <v>150</v>
      </c>
      <c r="F126">
        <v>1714575</v>
      </c>
      <c r="G126">
        <v>2</v>
      </c>
      <c r="H126">
        <v>2</v>
      </c>
      <c r="I126" t="s">
        <v>141</v>
      </c>
      <c r="J126" t="s">
        <v>16</v>
      </c>
      <c r="K126" t="s">
        <v>17</v>
      </c>
      <c r="L126" t="s">
        <v>28</v>
      </c>
      <c r="M126">
        <f>Table4[[#This Row],[Price]]/Table4[[#This Row],[Size (sqm)]]</f>
        <v>11430.5</v>
      </c>
    </row>
    <row r="127" spans="1:13" x14ac:dyDescent="0.25">
      <c r="A127">
        <v>126</v>
      </c>
      <c r="B127" t="s">
        <v>19</v>
      </c>
      <c r="C127" t="s">
        <v>47</v>
      </c>
      <c r="D127" t="s">
        <v>29</v>
      </c>
      <c r="E127">
        <v>95</v>
      </c>
      <c r="F127">
        <v>959887</v>
      </c>
      <c r="G127">
        <v>0</v>
      </c>
      <c r="H127">
        <v>4</v>
      </c>
      <c r="I127" t="s">
        <v>142</v>
      </c>
      <c r="J127" t="s">
        <v>16</v>
      </c>
      <c r="K127" t="s">
        <v>27</v>
      </c>
      <c r="L127" t="s">
        <v>18</v>
      </c>
      <c r="M127">
        <f>Table4[[#This Row],[Price]]/Table4[[#This Row],[Size (sqm)]]</f>
        <v>10104.073684210527</v>
      </c>
    </row>
    <row r="128" spans="1:13" x14ac:dyDescent="0.25">
      <c r="A128">
        <v>127</v>
      </c>
      <c r="B128" t="s">
        <v>12</v>
      </c>
      <c r="C128" t="s">
        <v>36</v>
      </c>
      <c r="D128" t="s">
        <v>14</v>
      </c>
      <c r="E128">
        <v>116</v>
      </c>
      <c r="F128">
        <v>1171663</v>
      </c>
      <c r="G128">
        <v>4</v>
      </c>
      <c r="H128">
        <v>4</v>
      </c>
      <c r="I128" t="s">
        <v>143</v>
      </c>
      <c r="J128" t="s">
        <v>22</v>
      </c>
      <c r="K128" t="s">
        <v>33</v>
      </c>
      <c r="L128" t="s">
        <v>18</v>
      </c>
      <c r="M128">
        <f>Table4[[#This Row],[Price]]/Table4[[#This Row],[Size (sqm)]]</f>
        <v>10100.543103448275</v>
      </c>
    </row>
    <row r="129" spans="1:13" x14ac:dyDescent="0.25">
      <c r="A129">
        <v>128</v>
      </c>
      <c r="B129" t="s">
        <v>19</v>
      </c>
      <c r="C129" t="s">
        <v>47</v>
      </c>
      <c r="D129" t="s">
        <v>29</v>
      </c>
      <c r="E129">
        <v>213</v>
      </c>
      <c r="F129">
        <v>2095570</v>
      </c>
      <c r="G129">
        <v>0</v>
      </c>
      <c r="H129">
        <v>1</v>
      </c>
      <c r="I129" t="s">
        <v>144</v>
      </c>
      <c r="J129" t="s">
        <v>16</v>
      </c>
      <c r="K129" t="s">
        <v>17</v>
      </c>
      <c r="L129" t="s">
        <v>28</v>
      </c>
      <c r="M129">
        <f>Table4[[#This Row],[Price]]/Table4[[#This Row],[Size (sqm)]]</f>
        <v>9838.3568075117364</v>
      </c>
    </row>
    <row r="130" spans="1:13" x14ac:dyDescent="0.25">
      <c r="A130">
        <v>129</v>
      </c>
      <c r="B130" t="s">
        <v>12</v>
      </c>
      <c r="C130" t="s">
        <v>13</v>
      </c>
      <c r="D130" t="s">
        <v>29</v>
      </c>
      <c r="E130">
        <v>224</v>
      </c>
      <c r="F130">
        <v>2338821</v>
      </c>
      <c r="G130">
        <v>0</v>
      </c>
      <c r="H130">
        <v>1</v>
      </c>
      <c r="I130" t="s">
        <v>91</v>
      </c>
      <c r="J130" t="s">
        <v>16</v>
      </c>
      <c r="K130" t="s">
        <v>27</v>
      </c>
      <c r="L130" t="s">
        <v>28</v>
      </c>
      <c r="M130">
        <f>Table4[[#This Row],[Price]]/Table4[[#This Row],[Size (sqm)]]</f>
        <v>10441.165178571429</v>
      </c>
    </row>
    <row r="131" spans="1:13" x14ac:dyDescent="0.25">
      <c r="A131">
        <v>130</v>
      </c>
      <c r="B131" t="s">
        <v>23</v>
      </c>
      <c r="C131" t="s">
        <v>45</v>
      </c>
      <c r="D131" t="s">
        <v>25</v>
      </c>
      <c r="E131">
        <v>428</v>
      </c>
      <c r="F131">
        <v>4495878</v>
      </c>
      <c r="G131">
        <v>6</v>
      </c>
      <c r="H131">
        <v>4</v>
      </c>
      <c r="I131" t="s">
        <v>145</v>
      </c>
      <c r="J131" t="s">
        <v>22</v>
      </c>
      <c r="K131" t="s">
        <v>33</v>
      </c>
      <c r="L131" t="s">
        <v>18</v>
      </c>
      <c r="M131">
        <f>Table4[[#This Row],[Price]]/Table4[[#This Row],[Size (sqm)]]</f>
        <v>10504.38785046729</v>
      </c>
    </row>
    <row r="132" spans="1:13" x14ac:dyDescent="0.25">
      <c r="A132">
        <v>131</v>
      </c>
      <c r="B132" t="s">
        <v>19</v>
      </c>
      <c r="C132" t="s">
        <v>47</v>
      </c>
      <c r="D132" t="s">
        <v>25</v>
      </c>
      <c r="E132">
        <v>374</v>
      </c>
      <c r="F132">
        <v>4007260</v>
      </c>
      <c r="G132">
        <v>5</v>
      </c>
      <c r="H132">
        <v>4</v>
      </c>
      <c r="I132" t="s">
        <v>105</v>
      </c>
      <c r="J132" t="s">
        <v>16</v>
      </c>
      <c r="K132" t="s">
        <v>27</v>
      </c>
      <c r="L132" t="s">
        <v>18</v>
      </c>
      <c r="M132">
        <f>Table4[[#This Row],[Price]]/Table4[[#This Row],[Size (sqm)]]</f>
        <v>10714.598930481283</v>
      </c>
    </row>
    <row r="133" spans="1:13" x14ac:dyDescent="0.25">
      <c r="A133">
        <v>132</v>
      </c>
      <c r="B133" t="s">
        <v>23</v>
      </c>
      <c r="C133" t="s">
        <v>31</v>
      </c>
      <c r="D133" t="s">
        <v>29</v>
      </c>
      <c r="E133">
        <v>101</v>
      </c>
      <c r="F133">
        <v>1350687</v>
      </c>
      <c r="G133">
        <v>0</v>
      </c>
      <c r="H133">
        <v>2</v>
      </c>
      <c r="I133" t="s">
        <v>134</v>
      </c>
      <c r="J133" t="s">
        <v>16</v>
      </c>
      <c r="K133" t="s">
        <v>33</v>
      </c>
      <c r="L133" t="s">
        <v>28</v>
      </c>
      <c r="M133">
        <f>Table4[[#This Row],[Price]]/Table4[[#This Row],[Size (sqm)]]</f>
        <v>13373.138613861385</v>
      </c>
    </row>
    <row r="134" spans="1:13" x14ac:dyDescent="0.25">
      <c r="A134">
        <v>133</v>
      </c>
      <c r="B134" t="s">
        <v>12</v>
      </c>
      <c r="C134" t="s">
        <v>13</v>
      </c>
      <c r="D134" t="s">
        <v>14</v>
      </c>
      <c r="E134">
        <v>167</v>
      </c>
      <c r="F134">
        <v>1887711</v>
      </c>
      <c r="G134">
        <v>4</v>
      </c>
      <c r="H134">
        <v>2</v>
      </c>
      <c r="I134" t="s">
        <v>146</v>
      </c>
      <c r="J134" t="s">
        <v>22</v>
      </c>
      <c r="K134" t="s">
        <v>33</v>
      </c>
      <c r="L134" t="s">
        <v>28</v>
      </c>
      <c r="M134">
        <f>Table4[[#This Row],[Price]]/Table4[[#This Row],[Size (sqm)]]</f>
        <v>11303.65868263473</v>
      </c>
    </row>
    <row r="135" spans="1:13" x14ac:dyDescent="0.25">
      <c r="A135">
        <v>134</v>
      </c>
      <c r="B135" t="s">
        <v>12</v>
      </c>
      <c r="C135" t="s">
        <v>36</v>
      </c>
      <c r="D135" t="s">
        <v>25</v>
      </c>
      <c r="E135">
        <v>310</v>
      </c>
      <c r="F135">
        <v>4305374</v>
      </c>
      <c r="G135">
        <v>6</v>
      </c>
      <c r="H135">
        <v>4</v>
      </c>
      <c r="I135" t="s">
        <v>147</v>
      </c>
      <c r="J135" t="s">
        <v>22</v>
      </c>
      <c r="K135" t="s">
        <v>33</v>
      </c>
      <c r="L135" t="s">
        <v>18</v>
      </c>
      <c r="M135">
        <f>Table4[[#This Row],[Price]]/Table4[[#This Row],[Size (sqm)]]</f>
        <v>13888.303225806452</v>
      </c>
    </row>
    <row r="136" spans="1:13" x14ac:dyDescent="0.25">
      <c r="A136">
        <v>135</v>
      </c>
      <c r="B136" t="s">
        <v>23</v>
      </c>
      <c r="C136" t="s">
        <v>41</v>
      </c>
      <c r="D136" t="s">
        <v>25</v>
      </c>
      <c r="E136">
        <v>283</v>
      </c>
      <c r="F136">
        <v>4938072</v>
      </c>
      <c r="G136">
        <v>6</v>
      </c>
      <c r="H136">
        <v>4</v>
      </c>
      <c r="I136" t="s">
        <v>148</v>
      </c>
      <c r="J136" t="s">
        <v>22</v>
      </c>
      <c r="K136" t="s">
        <v>17</v>
      </c>
      <c r="L136" t="s">
        <v>18</v>
      </c>
      <c r="M136">
        <f>Table4[[#This Row],[Price]]/Table4[[#This Row],[Size (sqm)]]</f>
        <v>17449.017667844524</v>
      </c>
    </row>
    <row r="137" spans="1:13" x14ac:dyDescent="0.25">
      <c r="A137">
        <v>136</v>
      </c>
      <c r="B137" t="s">
        <v>12</v>
      </c>
      <c r="C137" t="s">
        <v>36</v>
      </c>
      <c r="D137" t="s">
        <v>25</v>
      </c>
      <c r="E137">
        <v>269</v>
      </c>
      <c r="F137">
        <v>3626205</v>
      </c>
      <c r="G137">
        <v>5</v>
      </c>
      <c r="H137">
        <v>3</v>
      </c>
      <c r="I137" t="s">
        <v>137</v>
      </c>
      <c r="J137" t="s">
        <v>16</v>
      </c>
      <c r="K137" t="s">
        <v>27</v>
      </c>
      <c r="L137" t="s">
        <v>18</v>
      </c>
      <c r="M137">
        <f>Table4[[#This Row],[Price]]/Table4[[#This Row],[Size (sqm)]]</f>
        <v>13480.315985130112</v>
      </c>
    </row>
    <row r="138" spans="1:13" x14ac:dyDescent="0.25">
      <c r="A138">
        <v>137</v>
      </c>
      <c r="B138" t="s">
        <v>19</v>
      </c>
      <c r="C138" t="s">
        <v>54</v>
      </c>
      <c r="D138" t="s">
        <v>25</v>
      </c>
      <c r="E138">
        <v>231</v>
      </c>
      <c r="F138">
        <v>2888009</v>
      </c>
      <c r="G138">
        <v>3</v>
      </c>
      <c r="H138">
        <v>4</v>
      </c>
      <c r="I138" t="s">
        <v>149</v>
      </c>
      <c r="J138" t="s">
        <v>22</v>
      </c>
      <c r="K138" t="s">
        <v>17</v>
      </c>
      <c r="L138" t="s">
        <v>28</v>
      </c>
      <c r="M138">
        <f>Table4[[#This Row],[Price]]/Table4[[#This Row],[Size (sqm)]]</f>
        <v>12502.203463203463</v>
      </c>
    </row>
    <row r="139" spans="1:13" x14ac:dyDescent="0.25">
      <c r="A139">
        <v>138</v>
      </c>
      <c r="B139" t="s">
        <v>23</v>
      </c>
      <c r="C139" t="s">
        <v>45</v>
      </c>
      <c r="D139" t="s">
        <v>29</v>
      </c>
      <c r="E139">
        <v>244</v>
      </c>
      <c r="F139">
        <v>3583521</v>
      </c>
      <c r="G139">
        <v>0</v>
      </c>
      <c r="H139">
        <v>3</v>
      </c>
      <c r="I139" t="s">
        <v>146</v>
      </c>
      <c r="J139" t="s">
        <v>16</v>
      </c>
      <c r="K139" t="s">
        <v>33</v>
      </c>
      <c r="L139" t="s">
        <v>18</v>
      </c>
      <c r="M139">
        <f>Table4[[#This Row],[Price]]/Table4[[#This Row],[Size (sqm)]]</f>
        <v>14686.561475409837</v>
      </c>
    </row>
    <row r="140" spans="1:13" x14ac:dyDescent="0.25">
      <c r="A140">
        <v>139</v>
      </c>
      <c r="B140" t="s">
        <v>12</v>
      </c>
      <c r="C140" t="s">
        <v>36</v>
      </c>
      <c r="D140" t="s">
        <v>14</v>
      </c>
      <c r="E140">
        <v>74</v>
      </c>
      <c r="F140">
        <v>1012517</v>
      </c>
      <c r="G140">
        <v>4</v>
      </c>
      <c r="H140">
        <v>1</v>
      </c>
      <c r="I140" t="s">
        <v>150</v>
      </c>
      <c r="J140" t="s">
        <v>22</v>
      </c>
      <c r="K140" t="s">
        <v>17</v>
      </c>
      <c r="L140" t="s">
        <v>28</v>
      </c>
      <c r="M140">
        <f>Table4[[#This Row],[Price]]/Table4[[#This Row],[Size (sqm)]]</f>
        <v>13682.662162162162</v>
      </c>
    </row>
    <row r="141" spans="1:13" x14ac:dyDescent="0.25">
      <c r="A141">
        <v>140</v>
      </c>
      <c r="B141" t="s">
        <v>23</v>
      </c>
      <c r="C141" t="s">
        <v>31</v>
      </c>
      <c r="D141" t="s">
        <v>29</v>
      </c>
      <c r="E141">
        <v>230</v>
      </c>
      <c r="F141">
        <v>2931894</v>
      </c>
      <c r="G141">
        <v>0</v>
      </c>
      <c r="H141">
        <v>2</v>
      </c>
      <c r="I141" t="s">
        <v>52</v>
      </c>
      <c r="J141" t="s">
        <v>16</v>
      </c>
      <c r="K141" t="s">
        <v>27</v>
      </c>
      <c r="L141" t="s">
        <v>28</v>
      </c>
      <c r="M141">
        <f>Table4[[#This Row],[Price]]/Table4[[#This Row],[Size (sqm)]]</f>
        <v>12747.365217391305</v>
      </c>
    </row>
    <row r="142" spans="1:13" x14ac:dyDescent="0.25">
      <c r="A142">
        <v>141</v>
      </c>
      <c r="B142" t="s">
        <v>12</v>
      </c>
      <c r="C142" t="s">
        <v>13</v>
      </c>
      <c r="D142" t="s">
        <v>25</v>
      </c>
      <c r="E142">
        <v>235</v>
      </c>
      <c r="F142">
        <v>2421130</v>
      </c>
      <c r="G142">
        <v>6</v>
      </c>
      <c r="H142">
        <v>1</v>
      </c>
      <c r="I142" t="s">
        <v>109</v>
      </c>
      <c r="J142" t="s">
        <v>22</v>
      </c>
      <c r="K142" t="s">
        <v>17</v>
      </c>
      <c r="L142" t="s">
        <v>18</v>
      </c>
      <c r="M142">
        <f>Table4[[#This Row],[Price]]/Table4[[#This Row],[Size (sqm)]]</f>
        <v>10302.680851063829</v>
      </c>
    </row>
    <row r="143" spans="1:13" x14ac:dyDescent="0.25">
      <c r="A143">
        <v>142</v>
      </c>
      <c r="B143" t="s">
        <v>23</v>
      </c>
      <c r="C143" t="s">
        <v>41</v>
      </c>
      <c r="D143" t="s">
        <v>14</v>
      </c>
      <c r="E143">
        <v>82</v>
      </c>
      <c r="F143">
        <v>1136373</v>
      </c>
      <c r="G143">
        <v>4</v>
      </c>
      <c r="H143">
        <v>4</v>
      </c>
      <c r="I143" t="s">
        <v>84</v>
      </c>
      <c r="J143" t="s">
        <v>22</v>
      </c>
      <c r="K143" t="s">
        <v>27</v>
      </c>
      <c r="L143" t="s">
        <v>28</v>
      </c>
      <c r="M143">
        <f>Table4[[#This Row],[Price]]/Table4[[#This Row],[Size (sqm)]]</f>
        <v>13858.207317073171</v>
      </c>
    </row>
    <row r="144" spans="1:13" x14ac:dyDescent="0.25">
      <c r="A144">
        <v>143</v>
      </c>
      <c r="B144" t="s">
        <v>19</v>
      </c>
      <c r="C144" t="s">
        <v>20</v>
      </c>
      <c r="D144" t="s">
        <v>29</v>
      </c>
      <c r="E144">
        <v>218</v>
      </c>
      <c r="F144">
        <v>2147465</v>
      </c>
      <c r="G144">
        <v>0</v>
      </c>
      <c r="H144">
        <v>1</v>
      </c>
      <c r="I144" t="s">
        <v>151</v>
      </c>
      <c r="J144" t="s">
        <v>22</v>
      </c>
      <c r="K144" t="s">
        <v>27</v>
      </c>
      <c r="L144" t="s">
        <v>18</v>
      </c>
      <c r="M144">
        <f>Table4[[#This Row],[Price]]/Table4[[#This Row],[Size (sqm)]]</f>
        <v>9850.7568807339449</v>
      </c>
    </row>
    <row r="145" spans="1:13" x14ac:dyDescent="0.25">
      <c r="A145">
        <v>144</v>
      </c>
      <c r="B145" t="s">
        <v>23</v>
      </c>
      <c r="C145" t="s">
        <v>24</v>
      </c>
      <c r="D145" t="s">
        <v>25</v>
      </c>
      <c r="E145">
        <v>397</v>
      </c>
      <c r="F145">
        <v>6678117</v>
      </c>
      <c r="G145">
        <v>4</v>
      </c>
      <c r="H145">
        <v>4</v>
      </c>
      <c r="I145" t="s">
        <v>152</v>
      </c>
      <c r="J145" t="s">
        <v>22</v>
      </c>
      <c r="K145" t="s">
        <v>17</v>
      </c>
      <c r="L145" t="s">
        <v>28</v>
      </c>
      <c r="M145">
        <f>Table4[[#This Row],[Price]]/Table4[[#This Row],[Size (sqm)]]</f>
        <v>16821.453400503779</v>
      </c>
    </row>
    <row r="146" spans="1:13" x14ac:dyDescent="0.25">
      <c r="A146">
        <v>145</v>
      </c>
      <c r="B146" t="s">
        <v>19</v>
      </c>
      <c r="C146" t="s">
        <v>20</v>
      </c>
      <c r="D146" t="s">
        <v>14</v>
      </c>
      <c r="E146">
        <v>77</v>
      </c>
      <c r="F146">
        <v>665239</v>
      </c>
      <c r="G146">
        <v>4</v>
      </c>
      <c r="H146">
        <v>4</v>
      </c>
      <c r="I146" t="s">
        <v>153</v>
      </c>
      <c r="J146" t="s">
        <v>22</v>
      </c>
      <c r="K146" t="s">
        <v>17</v>
      </c>
      <c r="L146" t="s">
        <v>28</v>
      </c>
      <c r="M146">
        <f>Table4[[#This Row],[Price]]/Table4[[#This Row],[Size (sqm)]]</f>
        <v>8639.4675324675318</v>
      </c>
    </row>
    <row r="147" spans="1:13" x14ac:dyDescent="0.25">
      <c r="A147">
        <v>146</v>
      </c>
      <c r="B147" t="s">
        <v>23</v>
      </c>
      <c r="C147" t="s">
        <v>31</v>
      </c>
      <c r="D147" t="s">
        <v>25</v>
      </c>
      <c r="E147">
        <v>278</v>
      </c>
      <c r="F147">
        <v>4014510</v>
      </c>
      <c r="G147">
        <v>5</v>
      </c>
      <c r="H147">
        <v>2</v>
      </c>
      <c r="I147" t="s">
        <v>149</v>
      </c>
      <c r="J147" t="s">
        <v>22</v>
      </c>
      <c r="K147" t="s">
        <v>17</v>
      </c>
      <c r="L147" t="s">
        <v>28</v>
      </c>
      <c r="M147">
        <f>Table4[[#This Row],[Price]]/Table4[[#This Row],[Size (sqm)]]</f>
        <v>14440.683453237411</v>
      </c>
    </row>
    <row r="148" spans="1:13" x14ac:dyDescent="0.25">
      <c r="A148">
        <v>147</v>
      </c>
      <c r="B148" t="s">
        <v>19</v>
      </c>
      <c r="C148" t="s">
        <v>47</v>
      </c>
      <c r="D148" t="s">
        <v>29</v>
      </c>
      <c r="E148">
        <v>106</v>
      </c>
      <c r="F148">
        <v>1342309</v>
      </c>
      <c r="G148">
        <v>0</v>
      </c>
      <c r="H148">
        <v>2</v>
      </c>
      <c r="I148" t="s">
        <v>135</v>
      </c>
      <c r="J148" t="s">
        <v>22</v>
      </c>
      <c r="K148" t="s">
        <v>27</v>
      </c>
      <c r="L148" t="s">
        <v>18</v>
      </c>
      <c r="M148">
        <f>Table4[[#This Row],[Price]]/Table4[[#This Row],[Size (sqm)]]</f>
        <v>12663.292452830188</v>
      </c>
    </row>
    <row r="149" spans="1:13" x14ac:dyDescent="0.25">
      <c r="A149">
        <v>148</v>
      </c>
      <c r="B149" t="s">
        <v>12</v>
      </c>
      <c r="C149" t="s">
        <v>39</v>
      </c>
      <c r="D149" t="s">
        <v>29</v>
      </c>
      <c r="E149">
        <v>81</v>
      </c>
      <c r="F149">
        <v>721745</v>
      </c>
      <c r="G149">
        <v>0</v>
      </c>
      <c r="H149">
        <v>4</v>
      </c>
      <c r="I149" t="s">
        <v>154</v>
      </c>
      <c r="J149" t="s">
        <v>22</v>
      </c>
      <c r="K149" t="s">
        <v>33</v>
      </c>
      <c r="L149" t="s">
        <v>28</v>
      </c>
      <c r="M149">
        <f>Table4[[#This Row],[Price]]/Table4[[#This Row],[Size (sqm)]]</f>
        <v>8910.4320987654319</v>
      </c>
    </row>
    <row r="150" spans="1:13" x14ac:dyDescent="0.25">
      <c r="A150">
        <v>149</v>
      </c>
      <c r="B150" t="s">
        <v>12</v>
      </c>
      <c r="C150" t="s">
        <v>13</v>
      </c>
      <c r="D150" t="s">
        <v>25</v>
      </c>
      <c r="E150">
        <v>357</v>
      </c>
      <c r="F150">
        <v>4214004</v>
      </c>
      <c r="G150">
        <v>6</v>
      </c>
      <c r="H150">
        <v>4</v>
      </c>
      <c r="I150" t="s">
        <v>155</v>
      </c>
      <c r="J150" t="s">
        <v>16</v>
      </c>
      <c r="K150" t="s">
        <v>27</v>
      </c>
      <c r="L150" t="s">
        <v>28</v>
      </c>
      <c r="M150">
        <f>Table4[[#This Row],[Price]]/Table4[[#This Row],[Size (sqm)]]</f>
        <v>11803.932773109243</v>
      </c>
    </row>
    <row r="151" spans="1:13" x14ac:dyDescent="0.25">
      <c r="A151">
        <v>150</v>
      </c>
      <c r="B151" t="s">
        <v>23</v>
      </c>
      <c r="C151" t="s">
        <v>45</v>
      </c>
      <c r="D151" t="s">
        <v>14</v>
      </c>
      <c r="E151">
        <v>162</v>
      </c>
      <c r="F151">
        <v>1930010</v>
      </c>
      <c r="G151">
        <v>2</v>
      </c>
      <c r="H151">
        <v>4</v>
      </c>
      <c r="I151" t="s">
        <v>156</v>
      </c>
      <c r="J151" t="s">
        <v>16</v>
      </c>
      <c r="K151" t="s">
        <v>17</v>
      </c>
      <c r="L151" t="s">
        <v>18</v>
      </c>
      <c r="M151">
        <f>Table4[[#This Row],[Price]]/Table4[[#This Row],[Size (sqm)]]</f>
        <v>11913.641975308641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3BB93-1C3C-446D-B641-227293C5EE4A}">
  <dimension ref="A2:J58"/>
  <sheetViews>
    <sheetView workbookViewId="0">
      <selection activeCell="A7" sqref="A7:B10"/>
    </sheetView>
  </sheetViews>
  <sheetFormatPr defaultRowHeight="13.8" x14ac:dyDescent="0.25"/>
  <cols>
    <col min="1" max="1" width="17.19921875" bestFit="1" customWidth="1"/>
    <col min="2" max="2" width="15.59765625" bestFit="1" customWidth="1"/>
    <col min="3" max="3" width="15" bestFit="1" customWidth="1"/>
    <col min="4" max="4" width="18.796875" bestFit="1" customWidth="1"/>
    <col min="5" max="5" width="16.09765625" bestFit="1" customWidth="1"/>
    <col min="6" max="6" width="7.09765625" bestFit="1" customWidth="1"/>
    <col min="7" max="7" width="11" bestFit="1" customWidth="1"/>
    <col min="8" max="8" width="4.69921875" bestFit="1" customWidth="1"/>
    <col min="9" max="9" width="13.5" bestFit="1" customWidth="1"/>
    <col min="10" max="10" width="15.59765625" bestFit="1" customWidth="1"/>
  </cols>
  <sheetData>
    <row r="2" spans="1:6" x14ac:dyDescent="0.25">
      <c r="C2" t="str">
        <f t="shared" ref="C2:D3" si="0">A3</f>
        <v>Count of Property ID</v>
      </c>
      <c r="D2" t="str">
        <f t="shared" si="0"/>
        <v>Average of Price</v>
      </c>
    </row>
    <row r="3" spans="1:6" x14ac:dyDescent="0.25">
      <c r="A3" t="s">
        <v>157</v>
      </c>
      <c r="B3" t="s">
        <v>158</v>
      </c>
      <c r="C3">
        <f t="shared" si="0"/>
        <v>150</v>
      </c>
      <c r="D3" s="6">
        <f t="shared" si="0"/>
        <v>2602881.2000000002</v>
      </c>
      <c r="E3" s="1" t="s">
        <v>2</v>
      </c>
      <c r="F3" t="s">
        <v>158</v>
      </c>
    </row>
    <row r="4" spans="1:6" x14ac:dyDescent="0.25">
      <c r="A4">
        <v>150</v>
      </c>
      <c r="B4">
        <v>2602881.2000000002</v>
      </c>
      <c r="E4" s="2" t="s">
        <v>36</v>
      </c>
      <c r="F4">
        <v>2638786.0625</v>
      </c>
    </row>
    <row r="5" spans="1:6" x14ac:dyDescent="0.25">
      <c r="E5" s="2" t="s">
        <v>54</v>
      </c>
      <c r="F5">
        <v>2034350.1666666667</v>
      </c>
    </row>
    <row r="6" spans="1:6" x14ac:dyDescent="0.25">
      <c r="E6" s="2" t="s">
        <v>13</v>
      </c>
      <c r="F6">
        <v>2235680.1875</v>
      </c>
    </row>
    <row r="7" spans="1:6" x14ac:dyDescent="0.25">
      <c r="A7" s="1" t="s">
        <v>162</v>
      </c>
      <c r="B7" t="s">
        <v>160</v>
      </c>
      <c r="E7" s="2" t="s">
        <v>31</v>
      </c>
      <c r="F7">
        <v>2755497.75</v>
      </c>
    </row>
    <row r="8" spans="1:6" x14ac:dyDescent="0.25">
      <c r="A8" s="2" t="s">
        <v>16</v>
      </c>
      <c r="B8">
        <v>75</v>
      </c>
      <c r="E8" s="2" t="s">
        <v>24</v>
      </c>
      <c r="F8">
        <v>2952888</v>
      </c>
    </row>
    <row r="9" spans="1:6" x14ac:dyDescent="0.25">
      <c r="A9" s="2" t="s">
        <v>22</v>
      </c>
      <c r="B9">
        <v>75</v>
      </c>
      <c r="E9" s="2" t="s">
        <v>45</v>
      </c>
      <c r="F9">
        <v>3383402.8235294116</v>
      </c>
    </row>
    <row r="10" spans="1:6" x14ac:dyDescent="0.25">
      <c r="A10" s="2" t="s">
        <v>159</v>
      </c>
      <c r="B10">
        <v>150</v>
      </c>
      <c r="E10" s="2" t="s">
        <v>41</v>
      </c>
      <c r="F10">
        <v>3279697.5</v>
      </c>
    </row>
    <row r="11" spans="1:6" x14ac:dyDescent="0.25">
      <c r="E11" s="2" t="s">
        <v>39</v>
      </c>
      <c r="F11">
        <v>2673323.923076923</v>
      </c>
    </row>
    <row r="12" spans="1:6" x14ac:dyDescent="0.25">
      <c r="E12" s="2" t="s">
        <v>47</v>
      </c>
      <c r="F12">
        <v>2002286.8125</v>
      </c>
    </row>
    <row r="13" spans="1:6" x14ac:dyDescent="0.25">
      <c r="A13" s="1" t="s">
        <v>161</v>
      </c>
      <c r="B13" t="s">
        <v>157</v>
      </c>
      <c r="E13" s="2" t="s">
        <v>20</v>
      </c>
      <c r="F13">
        <v>2242094</v>
      </c>
    </row>
    <row r="14" spans="1:6" x14ac:dyDescent="0.25">
      <c r="A14" s="2" t="s">
        <v>23</v>
      </c>
      <c r="B14">
        <v>57</v>
      </c>
      <c r="E14" s="2" t="s">
        <v>159</v>
      </c>
      <c r="F14">
        <v>2602881.2000000002</v>
      </c>
    </row>
    <row r="15" spans="1:6" x14ac:dyDescent="0.25">
      <c r="A15" s="2" t="s">
        <v>19</v>
      </c>
      <c r="B15">
        <v>48</v>
      </c>
    </row>
    <row r="16" spans="1:6" x14ac:dyDescent="0.25">
      <c r="A16" s="2" t="s">
        <v>12</v>
      </c>
      <c r="B16">
        <v>45</v>
      </c>
    </row>
    <row r="17" spans="1:10" x14ac:dyDescent="0.25">
      <c r="A17" s="2" t="s">
        <v>159</v>
      </c>
      <c r="B17">
        <v>150</v>
      </c>
      <c r="E17" s="1" t="s">
        <v>164</v>
      </c>
      <c r="F17" s="1" t="s">
        <v>165</v>
      </c>
    </row>
    <row r="18" spans="1:10" x14ac:dyDescent="0.25">
      <c r="E18" s="1" t="s">
        <v>161</v>
      </c>
      <c r="F18" t="s">
        <v>14</v>
      </c>
      <c r="G18" t="s">
        <v>29</v>
      </c>
      <c r="H18" t="s">
        <v>25</v>
      </c>
      <c r="I18" t="s">
        <v>159</v>
      </c>
    </row>
    <row r="19" spans="1:10" x14ac:dyDescent="0.25">
      <c r="E19" s="2" t="s">
        <v>19</v>
      </c>
      <c r="F19">
        <v>18</v>
      </c>
      <c r="G19">
        <v>16</v>
      </c>
      <c r="H19">
        <v>14</v>
      </c>
      <c r="I19">
        <v>48</v>
      </c>
    </row>
    <row r="20" spans="1:10" x14ac:dyDescent="0.25">
      <c r="A20" s="1" t="s">
        <v>161</v>
      </c>
      <c r="B20" t="s">
        <v>158</v>
      </c>
      <c r="E20" s="2" t="s">
        <v>23</v>
      </c>
      <c r="F20">
        <v>18</v>
      </c>
      <c r="G20">
        <v>22</v>
      </c>
      <c r="H20">
        <v>17</v>
      </c>
      <c r="I20">
        <v>57</v>
      </c>
    </row>
    <row r="21" spans="1:10" x14ac:dyDescent="0.25">
      <c r="A21" s="2" t="s">
        <v>19</v>
      </c>
      <c r="B21">
        <v>2110222.3125</v>
      </c>
      <c r="E21" s="2" t="s">
        <v>12</v>
      </c>
      <c r="F21">
        <v>14</v>
      </c>
      <c r="G21">
        <v>15</v>
      </c>
      <c r="H21">
        <v>16</v>
      </c>
      <c r="I21">
        <v>45</v>
      </c>
    </row>
    <row r="22" spans="1:10" x14ac:dyDescent="0.25">
      <c r="A22" s="2" t="s">
        <v>23</v>
      </c>
      <c r="B22">
        <v>3094681.3684210526</v>
      </c>
      <c r="E22" s="2" t="s">
        <v>159</v>
      </c>
      <c r="F22">
        <v>50</v>
      </c>
      <c r="G22">
        <v>53</v>
      </c>
      <c r="H22">
        <v>47</v>
      </c>
      <c r="I22">
        <v>150</v>
      </c>
    </row>
    <row r="23" spans="1:10" x14ac:dyDescent="0.25">
      <c r="A23" s="2" t="s">
        <v>12</v>
      </c>
      <c r="B23">
        <v>2505437.1333333333</v>
      </c>
    </row>
    <row r="24" spans="1:10" x14ac:dyDescent="0.25">
      <c r="A24" s="2" t="s">
        <v>159</v>
      </c>
      <c r="B24">
        <v>2602881.2000000002</v>
      </c>
    </row>
    <row r="26" spans="1:10" x14ac:dyDescent="0.25">
      <c r="E26" s="1" t="s">
        <v>2</v>
      </c>
      <c r="F26" t="s">
        <v>167</v>
      </c>
    </row>
    <row r="27" spans="1:10" x14ac:dyDescent="0.25">
      <c r="A27" s="1" t="s">
        <v>163</v>
      </c>
      <c r="B27" t="s">
        <v>158</v>
      </c>
      <c r="E27" s="2" t="s">
        <v>41</v>
      </c>
      <c r="F27">
        <v>15471.827809305732</v>
      </c>
    </row>
    <row r="28" spans="1:10" x14ac:dyDescent="0.25">
      <c r="A28" s="2" t="s">
        <v>14</v>
      </c>
      <c r="B28">
        <v>1521946.58</v>
      </c>
      <c r="E28" s="2" t="s">
        <v>24</v>
      </c>
      <c r="F28">
        <v>14701.22740494396</v>
      </c>
      <c r="I28" s="1" t="s">
        <v>17</v>
      </c>
      <c r="J28" t="s">
        <v>158</v>
      </c>
    </row>
    <row r="29" spans="1:10" x14ac:dyDescent="0.25">
      <c r="A29" s="2" t="s">
        <v>29</v>
      </c>
      <c r="B29">
        <v>1957943.0566037735</v>
      </c>
      <c r="E29" s="2" t="s">
        <v>45</v>
      </c>
      <c r="F29">
        <v>13311.289953896399</v>
      </c>
      <c r="I29" s="2" t="s">
        <v>17</v>
      </c>
      <c r="J29">
        <v>2750440.0877192984</v>
      </c>
    </row>
    <row r="30" spans="1:10" x14ac:dyDescent="0.25">
      <c r="A30" s="2" t="s">
        <v>25</v>
      </c>
      <c r="B30">
        <v>4480082.3191489363</v>
      </c>
      <c r="E30" s="2" t="s">
        <v>31</v>
      </c>
      <c r="F30">
        <v>13196.820298932709</v>
      </c>
      <c r="I30" s="2" t="s">
        <v>27</v>
      </c>
      <c r="J30">
        <v>2614454.4693877553</v>
      </c>
    </row>
    <row r="31" spans="1:10" x14ac:dyDescent="0.25">
      <c r="A31" s="2" t="s">
        <v>159</v>
      </c>
      <c r="B31">
        <v>2602881.2000000002</v>
      </c>
      <c r="E31" s="2" t="s">
        <v>36</v>
      </c>
      <c r="F31">
        <v>12213.219357710332</v>
      </c>
      <c r="I31" s="2" t="s">
        <v>33</v>
      </c>
      <c r="J31">
        <v>2398836.9545454546</v>
      </c>
    </row>
    <row r="32" spans="1:10" x14ac:dyDescent="0.25">
      <c r="E32" s="2" t="s">
        <v>39</v>
      </c>
      <c r="F32">
        <v>11661.829902887344</v>
      </c>
      <c r="I32" s="2" t="s">
        <v>159</v>
      </c>
      <c r="J32">
        <v>2602881.2000000002</v>
      </c>
    </row>
    <row r="33" spans="1:7" x14ac:dyDescent="0.25">
      <c r="E33" s="2" t="s">
        <v>13</v>
      </c>
      <c r="F33">
        <v>11401.34244994463</v>
      </c>
    </row>
    <row r="34" spans="1:7" x14ac:dyDescent="0.25">
      <c r="E34" s="2" t="s">
        <v>47</v>
      </c>
      <c r="F34">
        <v>10645.665569954901</v>
      </c>
    </row>
    <row r="35" spans="1:7" x14ac:dyDescent="0.25">
      <c r="E35" s="2" t="s">
        <v>20</v>
      </c>
      <c r="F35">
        <v>10168.297164278618</v>
      </c>
    </row>
    <row r="36" spans="1:7" x14ac:dyDescent="0.25">
      <c r="E36" s="2" t="s">
        <v>54</v>
      </c>
      <c r="F36">
        <v>9710.5569494212232</v>
      </c>
    </row>
    <row r="37" spans="1:7" x14ac:dyDescent="0.25">
      <c r="E37" s="2" t="s">
        <v>159</v>
      </c>
      <c r="F37">
        <v>12127.851800187187</v>
      </c>
    </row>
    <row r="42" spans="1:7" x14ac:dyDescent="0.25">
      <c r="A42" s="1" t="s">
        <v>17</v>
      </c>
      <c r="B42" t="s">
        <v>158</v>
      </c>
    </row>
    <row r="43" spans="1:7" x14ac:dyDescent="0.25">
      <c r="A43" s="2" t="s">
        <v>23</v>
      </c>
      <c r="B43" s="5"/>
      <c r="D43" s="1" t="s">
        <v>160</v>
      </c>
      <c r="E43" s="1" t="s">
        <v>165</v>
      </c>
    </row>
    <row r="44" spans="1:7" x14ac:dyDescent="0.25">
      <c r="A44" s="4" t="s">
        <v>17</v>
      </c>
      <c r="B44" s="5">
        <v>3345625.789473684</v>
      </c>
      <c r="D44" s="1" t="s">
        <v>161</v>
      </c>
      <c r="E44" t="s">
        <v>16</v>
      </c>
      <c r="F44" t="s">
        <v>22</v>
      </c>
      <c r="G44" t="s">
        <v>159</v>
      </c>
    </row>
    <row r="45" spans="1:7" x14ac:dyDescent="0.25">
      <c r="A45" s="4" t="s">
        <v>27</v>
      </c>
      <c r="B45" s="5">
        <v>2942579.7916666665</v>
      </c>
      <c r="D45" s="2" t="s">
        <v>19</v>
      </c>
      <c r="E45" s="3">
        <v>0.45833333333333331</v>
      </c>
      <c r="F45" s="3">
        <v>0.54166666666666663</v>
      </c>
      <c r="G45" s="3">
        <v>1</v>
      </c>
    </row>
    <row r="46" spans="1:7" x14ac:dyDescent="0.25">
      <c r="A46" s="4" t="s">
        <v>33</v>
      </c>
      <c r="B46" s="5">
        <v>3014859.5</v>
      </c>
      <c r="D46" s="2" t="s">
        <v>23</v>
      </c>
      <c r="E46" s="3">
        <v>0.54385964912280704</v>
      </c>
      <c r="F46" s="3">
        <v>0.45614035087719296</v>
      </c>
      <c r="G46" s="3">
        <v>1</v>
      </c>
    </row>
    <row r="47" spans="1:7" x14ac:dyDescent="0.25">
      <c r="A47" s="2" t="s">
        <v>168</v>
      </c>
      <c r="B47" s="5">
        <v>3094681.3684210526</v>
      </c>
      <c r="D47" s="2" t="s">
        <v>12</v>
      </c>
      <c r="E47" s="3">
        <v>0.48888888888888887</v>
      </c>
      <c r="F47" s="3">
        <v>0.51111111111111107</v>
      </c>
      <c r="G47" s="3">
        <v>1</v>
      </c>
    </row>
    <row r="48" spans="1:7" x14ac:dyDescent="0.25">
      <c r="A48" s="2" t="s">
        <v>12</v>
      </c>
      <c r="B48" s="5"/>
      <c r="D48" s="2" t="s">
        <v>159</v>
      </c>
      <c r="E48" s="3">
        <v>0.5</v>
      </c>
      <c r="F48" s="3">
        <v>0.5</v>
      </c>
      <c r="G48" s="3">
        <v>1</v>
      </c>
    </row>
    <row r="49" spans="1:2" x14ac:dyDescent="0.25">
      <c r="A49" s="4" t="s">
        <v>17</v>
      </c>
      <c r="B49" s="5">
        <v>2648255.8125</v>
      </c>
    </row>
    <row r="50" spans="1:2" x14ac:dyDescent="0.25">
      <c r="A50" s="4" t="s">
        <v>27</v>
      </c>
      <c r="B50" s="5">
        <v>2620360.2999999998</v>
      </c>
    </row>
    <row r="51" spans="1:2" x14ac:dyDescent="0.25">
      <c r="A51" s="4" t="s">
        <v>33</v>
      </c>
      <c r="B51" s="5">
        <v>2324682.8947368423</v>
      </c>
    </row>
    <row r="52" spans="1:2" x14ac:dyDescent="0.25">
      <c r="A52" s="2" t="s">
        <v>169</v>
      </c>
      <c r="B52" s="5">
        <v>2505437.1333333333</v>
      </c>
    </row>
    <row r="53" spans="1:2" x14ac:dyDescent="0.25">
      <c r="A53" s="2" t="s">
        <v>19</v>
      </c>
      <c r="B53" s="5"/>
    </row>
    <row r="54" spans="1:2" x14ac:dyDescent="0.25">
      <c r="A54" s="4" t="s">
        <v>17</v>
      </c>
      <c r="B54" s="5">
        <v>2310731.9090909092</v>
      </c>
    </row>
    <row r="55" spans="1:2" x14ac:dyDescent="0.25">
      <c r="A55" s="4" t="s">
        <v>27</v>
      </c>
      <c r="B55" s="5">
        <v>2085516.7333333334</v>
      </c>
    </row>
    <row r="56" spans="1:2" x14ac:dyDescent="0.25">
      <c r="A56" s="4" t="s">
        <v>33</v>
      </c>
      <c r="B56" s="5">
        <v>1742892.5454545454</v>
      </c>
    </row>
    <row r="57" spans="1:2" x14ac:dyDescent="0.25">
      <c r="A57" s="2" t="s">
        <v>170</v>
      </c>
      <c r="B57" s="5">
        <v>2110222.3125</v>
      </c>
    </row>
    <row r="58" spans="1:2" x14ac:dyDescent="0.25">
      <c r="A58" s="2" t="s">
        <v>159</v>
      </c>
      <c r="B58" s="5">
        <v>2602881.2000000002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0D37A-6DEF-467D-B13C-534771BED22E}">
  <dimension ref="A1"/>
  <sheetViews>
    <sheetView showGridLines="0" showRowColHeaders="0" tabSelected="1" zoomScale="60" zoomScaleNormal="60" workbookViewId="0">
      <selection activeCell="U11" sqref="U11"/>
    </sheetView>
  </sheetViews>
  <sheetFormatPr defaultRowHeight="13.8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RealEstateData 2</vt:lpstr>
      <vt:lpstr>pivot 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2026-03-25T06:06:53Z</dcterms:created>
  <dcterms:modified xsi:type="dcterms:W3CDTF">2026-05-04T11:16:30Z</dcterms:modified>
</cp:coreProperties>
</file>